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안내" sheetId="1" state="visible" r:id="rId1"/>
    <sheet name="누적관리" sheetId="2" state="visible" r:id="rId2"/>
    <sheet name="2026-09-06" sheetId="3" state="visible" r:id="rId3"/>
    <sheet name="연습일지" sheetId="4" state="visible" r:id="rId4"/>
    <sheet name="_템플릿_날짜탭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"/>
    <numFmt numFmtId="165" formatCode="0.0%"/>
    <numFmt numFmtId="166" formatCode="+0;-0;0"/>
    <numFmt numFmtId="167" formatCode="0&quot;°&quot;"/>
    <numFmt numFmtId="168" formatCode="yyyy-mm-dd"/>
  </numFmts>
  <fonts count="15">
    <font>
      <name val="Calibri"/>
      <family val="2"/>
      <color theme="1"/>
      <sz val="11"/>
      <scheme val="minor"/>
    </font>
    <font>
      <name val="맑은 고딕"/>
      <b val="1"/>
      <color rgb="001F3B44"/>
      <sz val="15"/>
    </font>
    <font>
      <name val="맑은 고딕"/>
      <color rgb="005A6560"/>
      <sz val="9"/>
    </font>
    <font>
      <name val="맑은 고딕"/>
      <b val="1"/>
      <color rgb="001F3B44"/>
      <sz val="11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b val="1"/>
      <color rgb="005A6560"/>
      <sz val="9"/>
    </font>
    <font>
      <name val="맑은 고딕"/>
      <color rgb="000000FF"/>
      <sz val="10"/>
    </font>
    <font>
      <name val="맑은 고딕"/>
      <b val="1"/>
      <color rgb="00FFFFFF"/>
      <sz val="10"/>
    </font>
    <font>
      <name val="맑은 고딕"/>
      <color rgb="001F2421"/>
      <sz val="10"/>
    </font>
    <font>
      <name val="맑은 고딕"/>
      <color rgb="005A6560"/>
      <sz val="10"/>
    </font>
    <font>
      <name val="맑은 고딕"/>
      <b val="1"/>
      <color rgb="00B03D28"/>
      <sz val="10"/>
    </font>
    <font>
      <name val="맑은 고딕"/>
      <i val="1"/>
      <color rgb="008A9490"/>
      <sz val="10"/>
    </font>
    <font>
      <name val="맑은 고딕"/>
      <b val="1"/>
      <color rgb="000000FF"/>
      <sz val="10"/>
    </font>
    <font>
      <name val="맑은 고딕"/>
      <color rgb="00008000"/>
      <sz val="10"/>
    </font>
  </fonts>
  <fills count="7">
    <fill>
      <patternFill/>
    </fill>
    <fill>
      <patternFill patternType="gray125"/>
    </fill>
    <fill>
      <patternFill patternType="solid">
        <fgColor rgb="00DCE6E9"/>
      </patternFill>
    </fill>
    <fill>
      <patternFill patternType="solid">
        <fgColor rgb="00FFF6D5"/>
      </patternFill>
    </fill>
    <fill>
      <patternFill patternType="solid">
        <fgColor rgb="001F3B44"/>
      </patternFill>
    </fill>
    <fill>
      <patternFill patternType="solid">
        <fgColor rgb="00F8E3DE"/>
      </patternFill>
    </fill>
    <fill>
      <patternFill patternType="solid">
        <fgColor rgb="00F5F7F5"/>
      </patternFill>
    </fill>
  </fills>
  <borders count="6">
    <border>
      <left/>
      <right/>
      <top/>
      <bottom/>
      <diagonal/>
    </border>
    <border>
      <left style="thin">
        <color rgb="00C4CBC6"/>
      </left>
      <right style="thin">
        <color rgb="00C4CBC6"/>
      </right>
      <top style="thin">
        <color rgb="00C4CBC6"/>
      </top>
      <bottom style="thin">
        <color rgb="00C4CBC6"/>
      </bottom>
    </border>
    <border>
      <left/>
      <right/>
      <top style="thin">
        <color rgb="00C4CBC6"/>
      </top>
      <bottom/>
      <diagonal/>
    </border>
    <border>
      <left/>
      <right style="thin">
        <color rgb="00C4CBC6"/>
      </right>
      <top style="thin">
        <color rgb="00C4CBC6"/>
      </top>
      <bottom/>
      <diagonal/>
    </border>
    <border>
      <left/>
      <right/>
      <top style="thin">
        <color rgb="00C4CBC6"/>
      </top>
      <bottom style="thin">
        <color rgb="00C4CBC6"/>
      </bottom>
      <diagonal/>
    </border>
    <border>
      <left/>
      <right style="thin">
        <color rgb="00C4CBC6"/>
      </right>
      <top style="thin">
        <color rgb="00C4CBC6"/>
      </top>
      <bottom style="thin">
        <color rgb="00C4CBC6"/>
      </bottom>
      <diagonal/>
    </border>
  </borders>
  <cellStyleXfs count="1">
    <xf numFmtId="0" fontId="0" fillId="0" borderId="0"/>
  </cellStyleXfs>
  <cellXfs count="7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 indent="1"/>
    </xf>
    <xf numFmtId="0" fontId="8" fillId="4" borderId="1" applyAlignment="1" pivotButton="0" quotePrefix="0" xfId="0">
      <alignment horizontal="center" vertical="center" wrapText="1"/>
    </xf>
    <xf numFmtId="0" fontId="13" fillId="3" borderId="1" applyAlignment="1" pivotButton="0" quotePrefix="0" xfId="0">
      <alignment horizontal="center"/>
    </xf>
    <xf numFmtId="0" fontId="14" fillId="0" borderId="1" applyAlignment="1" pivotButton="0" quotePrefix="0" xfId="0">
      <alignment horizontal="center"/>
    </xf>
    <xf numFmtId="2" fontId="14" fillId="0" borderId="1" applyAlignment="1" pivotButton="0" quotePrefix="0" xfId="0">
      <alignment horizontal="center"/>
    </xf>
    <xf numFmtId="164" fontId="14" fillId="0" borderId="1" applyAlignment="1" pivotButton="0" quotePrefix="0" xfId="0">
      <alignment horizontal="center"/>
    </xf>
    <xf numFmtId="165" fontId="14" fillId="0" borderId="1" applyAlignment="1" pivotButton="0" quotePrefix="0" xfId="0">
      <alignment horizontal="center"/>
    </xf>
    <xf numFmtId="166" fontId="14" fillId="0" borderId="1" applyAlignment="1" pivotButton="0" quotePrefix="0" xfId="0">
      <alignment horizontal="center"/>
    </xf>
    <xf numFmtId="167" fontId="14" fillId="0" borderId="1" applyAlignment="1" pivotButton="0" quotePrefix="0" xfId="0">
      <alignment horizontal="center"/>
    </xf>
    <xf numFmtId="0" fontId="5" fillId="0" borderId="1" applyAlignment="1" pivotButton="0" quotePrefix="0" xfId="0">
      <alignment vertical="center"/>
    </xf>
    <xf numFmtId="0" fontId="14" fillId="6" borderId="1" applyAlignment="1" pivotButton="0" quotePrefix="0" xfId="0">
      <alignment horizontal="center"/>
    </xf>
    <xf numFmtId="2" fontId="14" fillId="6" borderId="1" applyAlignment="1" pivotButton="0" quotePrefix="0" xfId="0">
      <alignment horizontal="center"/>
    </xf>
    <xf numFmtId="164" fontId="14" fillId="6" borderId="1" applyAlignment="1" pivotButton="0" quotePrefix="0" xfId="0">
      <alignment horizontal="center"/>
    </xf>
    <xf numFmtId="165" fontId="14" fillId="6" borderId="1" applyAlignment="1" pivotButton="0" quotePrefix="0" xfId="0">
      <alignment horizontal="center"/>
    </xf>
    <xf numFmtId="166" fontId="14" fillId="6" borderId="1" applyAlignment="1" pivotButton="0" quotePrefix="0" xfId="0">
      <alignment horizontal="center"/>
    </xf>
    <xf numFmtId="167" fontId="14" fillId="6" borderId="1" applyAlignment="1" pivotButton="0" quotePrefix="0" xfId="0">
      <alignment horizontal="center"/>
    </xf>
    <xf numFmtId="0" fontId="5" fillId="6" borderId="1" applyAlignment="1" pivotButton="0" quotePrefix="0" xfId="0">
      <alignment vertical="center"/>
    </xf>
    <xf numFmtId="0" fontId="4" fillId="0" borderId="1" pivotButton="0" quotePrefix="0" xfId="0"/>
    <xf numFmtId="165" fontId="7" fillId="0" borderId="1" applyAlignment="1" pivotButton="0" quotePrefix="0" xfId="0">
      <alignment horizontal="center"/>
    </xf>
    <xf numFmtId="165" fontId="3" fillId="0" borderId="1" applyAlignment="1" pivotButton="0" quotePrefix="0" xfId="0">
      <alignment horizontal="center"/>
    </xf>
    <xf numFmtId="0" fontId="2" fillId="0" borderId="1" pivotButton="0" quotePrefix="0" xfId="0"/>
    <xf numFmtId="0" fontId="0" fillId="0" borderId="1" pivotButton="0" quotePrefix="0" xfId="0"/>
    <xf numFmtId="166" fontId="7" fillId="0" borderId="1" applyAlignment="1" pivotButton="0" quotePrefix="0" xfId="0">
      <alignment horizontal="center"/>
    </xf>
    <xf numFmtId="166" fontId="3" fillId="0" borderId="1" applyAlignment="1" pivotButton="0" quotePrefix="0" xfId="0">
      <alignment horizontal="center"/>
    </xf>
    <xf numFmtId="1" fontId="7" fillId="0" borderId="1" applyAlignment="1" pivotButton="0" quotePrefix="0" xfId="0">
      <alignment horizontal="center"/>
    </xf>
    <xf numFmtId="1" fontId="3" fillId="0" borderId="1" applyAlignment="1" pivotButton="0" quotePrefix="0" xfId="0">
      <alignment horizontal="center"/>
    </xf>
    <xf numFmtId="164" fontId="7" fillId="0" borderId="1" applyAlignment="1" pivotButton="0" quotePrefix="0" xfId="0">
      <alignment horizontal="center"/>
    </xf>
    <xf numFmtId="164" fontId="3" fillId="0" borderId="1" applyAlignment="1" pivotButton="0" quotePrefix="0" xfId="0">
      <alignment horizontal="center"/>
    </xf>
    <xf numFmtId="0" fontId="7" fillId="3" borderId="1" pivotButton="0" quotePrefix="0" xfId="0"/>
    <xf numFmtId="0" fontId="9" fillId="0" borderId="1" pivotButton="0" quotePrefix="0" xfId="0"/>
    <xf numFmtId="2" fontId="7" fillId="3" borderId="1" applyAlignment="1" pivotButton="0" quotePrefix="0" xfId="0">
      <alignment horizontal="center"/>
    </xf>
    <xf numFmtId="2" fontId="4" fillId="0" borderId="1" applyAlignment="1" pivotButton="0" quotePrefix="0" xfId="0">
      <alignment horizontal="center"/>
    </xf>
    <xf numFmtId="2" fontId="10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2" fillId="0" borderId="1" applyAlignment="1" pivotButton="0" quotePrefix="0" xfId="0">
      <alignment vertical="center" wrapText="1"/>
    </xf>
    <xf numFmtId="164" fontId="5" fillId="0" borderId="1" applyAlignment="1" pivotButton="0" quotePrefix="0" xfId="0">
      <alignment horizontal="center"/>
    </xf>
    <xf numFmtId="164" fontId="4" fillId="0" borderId="1" applyAlignment="1" pivotButton="0" quotePrefix="0" xfId="0">
      <alignment horizontal="center"/>
    </xf>
    <xf numFmtId="164" fontId="10" fillId="0" borderId="1" applyAlignment="1" pivotButton="0" quotePrefix="0" xfId="0">
      <alignment horizontal="center"/>
    </xf>
    <xf numFmtId="165" fontId="7" fillId="3" borderId="1" applyAlignment="1" pivotButton="0" quotePrefix="0" xfId="0">
      <alignment horizontal="center"/>
    </xf>
    <xf numFmtId="165" fontId="4" fillId="0" borderId="1" applyAlignment="1" pivotButton="0" quotePrefix="0" xfId="0">
      <alignment horizontal="center"/>
    </xf>
    <xf numFmtId="165" fontId="10" fillId="0" borderId="1" applyAlignment="1" pivotButton="0" quotePrefix="0" xfId="0">
      <alignment horizontal="center"/>
    </xf>
    <xf numFmtId="0" fontId="11" fillId="5" borderId="1" pivotButton="0" quotePrefix="0" xfId="0"/>
    <xf numFmtId="166" fontId="7" fillId="3" borderId="1" applyAlignment="1" pivotButton="0" quotePrefix="0" xfId="0">
      <alignment horizontal="center"/>
    </xf>
    <xf numFmtId="166" fontId="4" fillId="0" borderId="1" applyAlignment="1" pivotButton="0" quotePrefix="0" xfId="0">
      <alignment horizontal="center"/>
    </xf>
    <xf numFmtId="166" fontId="10" fillId="0" borderId="1" applyAlignment="1" pivotButton="0" quotePrefix="0" xfId="0">
      <alignment horizontal="center"/>
    </xf>
    <xf numFmtId="167" fontId="7" fillId="3" borderId="1" applyAlignment="1" pivotButton="0" quotePrefix="0" xfId="0">
      <alignment horizontal="center"/>
    </xf>
    <xf numFmtId="167" fontId="4" fillId="0" borderId="1" applyAlignment="1" pivotButton="0" quotePrefix="0" xfId="0">
      <alignment horizontal="center"/>
    </xf>
    <xf numFmtId="167" fontId="10" fillId="0" borderId="1" applyAlignment="1" pivotButton="0" quotePrefix="0" xfId="0">
      <alignment horizontal="center"/>
    </xf>
    <xf numFmtId="166" fontId="5" fillId="0" borderId="1" applyAlignment="1" pivotButton="0" quotePrefix="0" xfId="0">
      <alignment horizontal="center"/>
    </xf>
    <xf numFmtId="1" fontId="7" fillId="3" borderId="1" applyAlignment="1" pivotButton="0" quotePrefix="0" xfId="0">
      <alignment horizontal="center"/>
    </xf>
    <xf numFmtId="1" fontId="4" fillId="0" borderId="1" applyAlignment="1" pivotButton="0" quotePrefix="0" xfId="0">
      <alignment horizontal="center"/>
    </xf>
    <xf numFmtId="1" fontId="10" fillId="0" borderId="1" applyAlignment="1" pivotButton="0" quotePrefix="0" xfId="0">
      <alignment horizontal="center"/>
    </xf>
    <xf numFmtId="0" fontId="4" fillId="3" borderId="1" pivotButton="0" quotePrefix="0" xfId="0"/>
    <xf numFmtId="0" fontId="7" fillId="3" borderId="1" applyAlignment="1" pivotButton="0" quotePrefix="0" xfId="0">
      <alignment vertical="center" wrapText="1"/>
    </xf>
    <xf numFmtId="168" fontId="12" fillId="0" borderId="1" applyAlignment="1" pivotButton="0" quotePrefix="0" xfId="0">
      <alignment horizontal="center"/>
    </xf>
    <xf numFmtId="0" fontId="12" fillId="0" borderId="1" applyAlignment="1" pivotButton="0" quotePrefix="0" xfId="0">
      <alignment horizontal="left"/>
    </xf>
    <xf numFmtId="0" fontId="12" fillId="0" borderId="1" applyAlignment="1" pivotButton="0" quotePrefix="0" xfId="0">
      <alignment horizontal="center"/>
    </xf>
    <xf numFmtId="168" fontId="7" fillId="3" borderId="1" applyAlignment="1" pivotButton="0" quotePrefix="0" xfId="0">
      <alignment horizontal="center"/>
    </xf>
    <xf numFmtId="0" fontId="7" fillId="3" borderId="1" applyAlignment="1" pivotButton="0" quotePrefix="0" xfId="0">
      <alignment horizontal="left"/>
    </xf>
    <xf numFmtId="0" fontId="7" fillId="3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머리 하강 @ 임팩트 추세 (목표 1.0% 이하)</a:t>
            </a:r>
          </a:p>
        </rich>
      </tx>
    </title>
    <plotArea>
      <lineChart>
        <grouping val="standard"/>
        <ser>
          <idx val="0"/>
          <order val="0"/>
          <tx>
            <strRef>
              <f>'누적관리'!F5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'누적관리'!$A$6:$A$25</f>
            </numRef>
          </cat>
          <val>
            <numRef>
              <f>'누적관리'!$F$6:$F$25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기록일자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머리 하강 (%)</a:t>
                </a:r>
              </a:p>
            </rich>
          </tx>
        </title>
        <numFmt formatCode="0.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37</row>
      <rowOff>0</rowOff>
    </from>
    <ext cx="612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30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골프 스윙 계측 기록부 — 사용법</t>
        </is>
      </c>
    </row>
    <row r="2">
      <c r="A2" s="2" t="inlineStr">
        <is>
          <t>일자별 계측을 탭으로 쌓고, 누적관리 탭이 자동으로 모읍니다.</t>
        </is>
      </c>
    </row>
    <row r="4" ht="22" customHeight="1">
      <c r="A4" s="3" t="inlineStr">
        <is>
          <t>■ 탭 구성</t>
        </is>
      </c>
    </row>
    <row r="5" ht="26" customHeight="1">
      <c r="A5" s="4" t="inlineStr">
        <is>
          <t>누적관리</t>
        </is>
      </c>
      <c r="B5" s="5" t="inlineStr">
        <is>
          <t>모든 날짜 탭의 핵심 수치를 자동으로 끌어와 한 줄씩 쌓습니다. 추세 그래프 포함.</t>
        </is>
      </c>
      <c r="C5" s="2" t="inlineStr">
        <is>
          <t>직접 고칠 곳: A열(탭 이름)만</t>
        </is>
      </c>
    </row>
    <row r="6" ht="26" customHeight="1">
      <c r="A6" s="4" t="inlineStr">
        <is>
          <t>연습일지</t>
        </is>
      </c>
      <c r="B6" s="5" t="inlineStr">
        <is>
          <t>연습장 갈 때마다 한 줄씩. 계측 촬영과 무관하게 매번 기록합니다.</t>
        </is>
      </c>
      <c r="C6" s="2" t="inlineStr">
        <is>
          <t>노란 칸을 채우세요</t>
        </is>
      </c>
    </row>
    <row r="7" ht="26" customHeight="1">
      <c r="A7" s="4" t="inlineStr">
        <is>
          <t>2026-09-06</t>
        </is>
      </c>
      <c r="B7" s="5" t="inlineStr">
        <is>
          <t>실제 영상 계측 기록. 스윙 3회분 원자료가 들어 있습니다.</t>
        </is>
      </c>
      <c r="C7" s="2" t="inlineStr">
        <is>
          <t>완료된 기록</t>
        </is>
      </c>
    </row>
    <row r="8" ht="26" customHeight="1">
      <c r="A8" s="4" t="inlineStr">
        <is>
          <t>_템플릿_날짜탭</t>
        </is>
      </c>
      <c r="B8" s="5" t="inlineStr">
        <is>
          <t>새 계측일이 생기면 이 탭을 복사해서 씁니다.</t>
        </is>
      </c>
      <c r="C8" s="2" t="inlineStr">
        <is>
          <t>복사용 원본 · 수정 금지</t>
        </is>
      </c>
    </row>
    <row r="9" ht="26" customHeight="1">
      <c r="A9" s="4" t="inlineStr"/>
      <c r="B9" s="5" t="inlineStr"/>
      <c r="C9" s="2" t="inlineStr"/>
    </row>
    <row r="10" ht="22" customHeight="1">
      <c r="A10" s="3" t="inlineStr">
        <is>
          <t>■ 새 계측일 추가하는 법 (3단계)</t>
        </is>
      </c>
    </row>
    <row r="11" ht="26" customHeight="1">
      <c r="A11" s="4" t="inlineStr">
        <is>
          <t>1단계</t>
        </is>
      </c>
      <c r="B11" s="5" t="inlineStr">
        <is>
          <t>「_템플릿_날짜탭」 시트 탭에서 마우스 오른쪽 → [이동/복사] → [복사본 만들기] 체크 → 확인</t>
        </is>
      </c>
      <c r="C11" s="2" t="inlineStr"/>
    </row>
    <row r="12" ht="26" customHeight="1">
      <c r="A12" s="4" t="inlineStr">
        <is>
          <t>2단계</t>
        </is>
      </c>
      <c r="B12" s="5" t="inlineStr">
        <is>
          <t>복사된 탭 이름을 측정 날짜로 바꿉니다.  반드시  YYYY-MM-DD  형식 (예: 2026-09-20)</t>
        </is>
      </c>
      <c r="C12" s="2" t="inlineStr"/>
    </row>
    <row r="13" ht="26" customHeight="1">
      <c r="A13" s="4" t="inlineStr">
        <is>
          <t>3단계</t>
        </is>
      </c>
      <c r="B13" s="5" t="inlineStr">
        <is>
          <t>「누적관리」 탭 A열의 다음 빈 줄에 그 날짜를 똑같이 입력합니다. 나머지 칸은 자동으로 채워집니다.</t>
        </is>
      </c>
      <c r="C13" s="2" t="inlineStr"/>
    </row>
    <row r="14" ht="26" customHeight="1">
      <c r="A14" s="4" t="inlineStr">
        <is>
          <t>확인</t>
        </is>
      </c>
      <c r="B14" s="5" t="inlineStr">
        <is>
          <t>입력 직후 그 줄의 B열(클럽)에 글자가 뜨면 연결 성공입니다. 비어 있거나 J열에 '탭 이름을 확인하세요'가 뜨면 탭 이름과 A열 글자가 다른 것이니 한 글자씩 맞춰주세요.</t>
        </is>
      </c>
      <c r="C14" s="2" t="inlineStr">
        <is>
          <t>띄어쓰기·하이픈까지 동일해야 합니다</t>
        </is>
      </c>
    </row>
    <row r="15" ht="26" customHeight="1">
      <c r="A15" s="4" t="inlineStr"/>
      <c r="B15" s="5" t="inlineStr"/>
      <c r="C15" s="2" t="inlineStr"/>
    </row>
    <row r="16" ht="22" customHeight="1">
      <c r="A16" s="3" t="inlineStr">
        <is>
          <t>■ 색 규칙</t>
        </is>
      </c>
    </row>
    <row r="17" ht="26" customHeight="1">
      <c r="A17" s="4" t="inlineStr">
        <is>
          <t>파란 글씨</t>
        </is>
      </c>
      <c r="B17" s="5" t="inlineStr">
        <is>
          <t>직접 입력한 측정값 — 고쳐도 되는 곳</t>
        </is>
      </c>
      <c r="C17" s="2" t="inlineStr"/>
    </row>
    <row r="18" ht="26" customHeight="1">
      <c r="A18" s="4" t="inlineStr">
        <is>
          <t>검은 글씨</t>
        </is>
      </c>
      <c r="B18" s="5" t="inlineStr">
        <is>
          <t>수식으로 계산된 값 — 건드리지 마세요</t>
        </is>
      </c>
      <c r="C18" s="2" t="inlineStr"/>
    </row>
    <row r="19" ht="26" customHeight="1">
      <c r="A19" s="4" t="inlineStr">
        <is>
          <t>초록 글씨</t>
        </is>
      </c>
      <c r="B19" s="5" t="inlineStr">
        <is>
          <t>다른 시트에서 자동으로 끌어온 값 — 건드리지 마세요</t>
        </is>
      </c>
      <c r="C19" s="2" t="inlineStr"/>
    </row>
    <row r="20" ht="26" customHeight="1">
      <c r="A20" s="4" t="inlineStr">
        <is>
          <t>노란 배경</t>
        </is>
      </c>
      <c r="B20" s="5" t="inlineStr">
        <is>
          <t>채워 넣어야 하는 칸</t>
        </is>
      </c>
      <c r="C20" s="2" t="inlineStr"/>
    </row>
    <row r="21" ht="26" customHeight="1">
      <c r="A21" s="4" t="inlineStr"/>
      <c r="B21" s="5" t="inlineStr"/>
      <c r="C21" s="2" t="inlineStr"/>
    </row>
    <row r="22" ht="22" customHeight="1">
      <c r="A22" s="3" t="inlineStr">
        <is>
          <t>■ 이 기록부의 핵심 지표 1개</t>
        </is>
      </c>
    </row>
    <row r="23" ht="26" customHeight="1">
      <c r="A23" s="4" t="inlineStr">
        <is>
          <t>머리 하강 @ 임팩트</t>
        </is>
      </c>
      <c r="B23" s="5" t="inlineStr">
        <is>
          <t>임팩트 순간 머리가 어드레스보다 얼마나 내려갔는지(몸 높이 대비 %). 이 숫자를 1.0% 이하로 내리는 것이 4주 목표입니다.</t>
        </is>
      </c>
      <c r="C23" s="2" t="inlineStr">
        <is>
          <t>2026-09-06 현재: 평균 3.9%</t>
        </is>
      </c>
    </row>
    <row r="24" ht="26" customHeight="1">
      <c r="A24" s="4" t="inlineStr">
        <is>
          <t>최저점 시점</t>
        </is>
      </c>
      <c r="B24" s="5" t="inlineStr">
        <is>
          <t>몸이 가장 낮아지는 순간이 임팩트보다 얼마나 늦는지(ms). 0 이하(임팩트 전)가 정상입니다.</t>
        </is>
      </c>
      <c r="C24" s="2" t="inlineStr">
        <is>
          <t>현재: +133ms</t>
        </is>
      </c>
    </row>
    <row r="25" ht="26" customHeight="1">
      <c r="A25" s="4" t="inlineStr">
        <is>
          <t>왼무릎 변화</t>
        </is>
      </c>
      <c r="B25" s="5" t="inlineStr">
        <is>
          <t>어드레스 대비 임팩트에서 왼무릎이 펴졌으면 +, 더 굽었으면 −. 0 이상이 목표.</t>
        </is>
      </c>
      <c r="C25" s="2" t="inlineStr">
        <is>
          <t>현재: −21°</t>
        </is>
      </c>
    </row>
    <row r="27" ht="40" customHeight="1">
      <c r="A27" s="6" t="inlineStr">
        <is>
          <t>자료 출처</t>
        </is>
      </c>
      <c r="B27" s="7" t="inlineStr">
        <is>
          <t>2026-09-06 계측값은 사용자가 제공한 영상(KakaoTalk_20260906_162234527.mp4, 1080x1920 / 30fps / 74.07초)을 MediaPipe Pose Landmarker(heavy)로 프레임 단위 추적해 산출한 값입니다. 추정치가 아닌 실측입니다.</t>
        </is>
      </c>
    </row>
  </sheetData>
  <mergeCells count="6">
    <mergeCell ref="A2:F2"/>
    <mergeCell ref="A16:F16"/>
    <mergeCell ref="A10:F10"/>
    <mergeCell ref="A1:F1"/>
    <mergeCell ref="A22:F22"/>
    <mergeCell ref="A4:F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9" customWidth="1" min="3" max="3"/>
    <col width="9" customWidth="1" min="4" max="4"/>
    <col width="9" customWidth="1" min="5" max="5"/>
    <col width="12" customWidth="1" min="6" max="6"/>
    <col width="10" customWidth="1" min="7" max="7"/>
    <col width="10" customWidth="1" min="8" max="8"/>
    <col width="11" customWidth="1" min="9" max="9"/>
    <col width="34" customWidth="1" min="10" max="10"/>
  </cols>
  <sheetData>
    <row r="1" ht="28" customHeight="1">
      <c r="A1" s="1" t="inlineStr">
        <is>
          <t>누적관리</t>
        </is>
      </c>
    </row>
    <row r="2">
      <c r="A2" s="2" t="inlineStr">
        <is>
          <t>A열에 날짜 탭 이름을 입력하면 나머지는 자동으로 채워집니다. A열 외에는 건드리지 마세요.</t>
        </is>
      </c>
    </row>
    <row r="4" ht="22" customHeight="1">
      <c r="A4" s="8" t="inlineStr">
        <is>
          <t xml:space="preserve">  계측 이력</t>
        </is>
      </c>
    </row>
    <row r="5" ht="30" customHeight="1">
      <c r="A5" s="9" t="inlineStr">
        <is>
          <t>기록일자
(= 탭 이름)</t>
        </is>
      </c>
      <c r="B5" s="9" t="inlineStr">
        <is>
          <t>클럽</t>
        </is>
      </c>
      <c r="C5" s="9" t="inlineStr">
        <is>
          <t>백스윙
(초)</t>
        </is>
      </c>
      <c r="D5" s="9" t="inlineStr">
        <is>
          <t>다운스윙
(초)</t>
        </is>
      </c>
      <c r="E5" s="9" t="inlineStr">
        <is>
          <t>템포비</t>
        </is>
      </c>
      <c r="F5" s="9" t="inlineStr">
        <is>
          <t>★머리하강
@임팩트</t>
        </is>
      </c>
      <c r="G5" s="9" t="inlineStr">
        <is>
          <t>★최저점
(ms)</t>
        </is>
      </c>
      <c r="H5" s="9" t="inlineStr">
        <is>
          <t>왼무릎
@임팩트</t>
        </is>
      </c>
      <c r="I5" s="9" t="inlineStr">
        <is>
          <t>★무릎변화
(°)</t>
        </is>
      </c>
      <c r="J5" s="9" t="inlineStr">
        <is>
          <t>종합 판정</t>
        </is>
      </c>
    </row>
    <row r="6">
      <c r="A6" s="10" t="inlineStr">
        <is>
          <t>2026-09-06</t>
        </is>
      </c>
      <c r="B6" s="11">
        <f>IF($A6="","",IFERROR(INDIRECT("'"&amp;$A6&amp;"'!B5"),""))</f>
        <v/>
      </c>
      <c r="C6" s="12">
        <f>IF($A6="","",IFERROR(INDIRECT("'"&amp;$A6&amp;"'!E11"),""))</f>
        <v/>
      </c>
      <c r="D6" s="12">
        <f>IF($A6="","",IFERROR(INDIRECT("'"&amp;$A6&amp;"'!E12"),""))</f>
        <v/>
      </c>
      <c r="E6" s="13">
        <f>IF($A6="","",IFERROR(INDIRECT("'"&amp;$A6&amp;"'!E13"),""))</f>
        <v/>
      </c>
      <c r="F6" s="14">
        <f>IF($A6="","",IFERROR(INDIRECT("'"&amp;$A6&amp;"'!E15"),""))</f>
        <v/>
      </c>
      <c r="G6" s="15">
        <f>IF($A6="","",IFERROR(INDIRECT("'"&amp;$A6&amp;"'!E16"),""))</f>
        <v/>
      </c>
      <c r="H6" s="16">
        <f>IF($A6="","",IFERROR(INDIRECT("'"&amp;$A6&amp;"'!E18"),""))</f>
        <v/>
      </c>
      <c r="I6" s="15">
        <f>IF($A6="","",IFERROR(INDIRECT("'"&amp;$A6&amp;"'!E19"),""))</f>
        <v/>
      </c>
      <c r="J6" s="17">
        <f>IF($A6="","",IF(AND(F6&lt;=$B$30,G6&lt;=$B$31,I6&gt;=$B$32),"합격 — 세 지표 모두 목표 도달",IF(COUNT(F6,G6,I6)=0,"※ A열 탭 이름을 확인하세요 (해당 시트 없음)","교정 중 — 아래 목표선과 비교")))</f>
        <v/>
      </c>
    </row>
    <row r="7">
      <c r="A7" s="10" t="n"/>
      <c r="B7" s="18">
        <f>IF($A7="","",IFERROR(INDIRECT("'"&amp;$A7&amp;"'!B5"),""))</f>
        <v/>
      </c>
      <c r="C7" s="19">
        <f>IF($A7="","",IFERROR(INDIRECT("'"&amp;$A7&amp;"'!E11"),""))</f>
        <v/>
      </c>
      <c r="D7" s="19">
        <f>IF($A7="","",IFERROR(INDIRECT("'"&amp;$A7&amp;"'!E12"),""))</f>
        <v/>
      </c>
      <c r="E7" s="20">
        <f>IF($A7="","",IFERROR(INDIRECT("'"&amp;$A7&amp;"'!E13"),""))</f>
        <v/>
      </c>
      <c r="F7" s="21">
        <f>IF($A7="","",IFERROR(INDIRECT("'"&amp;$A7&amp;"'!E15"),""))</f>
        <v/>
      </c>
      <c r="G7" s="22">
        <f>IF($A7="","",IFERROR(INDIRECT("'"&amp;$A7&amp;"'!E16"),""))</f>
        <v/>
      </c>
      <c r="H7" s="23">
        <f>IF($A7="","",IFERROR(INDIRECT("'"&amp;$A7&amp;"'!E18"),""))</f>
        <v/>
      </c>
      <c r="I7" s="22">
        <f>IF($A7="","",IFERROR(INDIRECT("'"&amp;$A7&amp;"'!E19"),""))</f>
        <v/>
      </c>
      <c r="J7" s="24">
        <f>IF($A7="","",IF(AND(F7&lt;=$B$30,G7&lt;=$B$31,I7&gt;=$B$32),"합격 — 세 지표 모두 목표 도달",IF(COUNT(F7,G7,I7)=0,"※ A열 탭 이름을 확인하세요 (해당 시트 없음)","교정 중 — 아래 목표선과 비교")))</f>
        <v/>
      </c>
    </row>
    <row r="8">
      <c r="A8" s="10" t="n"/>
      <c r="B8" s="11">
        <f>IF($A8="","",IFERROR(INDIRECT("'"&amp;$A8&amp;"'!B5"),""))</f>
        <v/>
      </c>
      <c r="C8" s="12">
        <f>IF($A8="","",IFERROR(INDIRECT("'"&amp;$A8&amp;"'!E11"),""))</f>
        <v/>
      </c>
      <c r="D8" s="12">
        <f>IF($A8="","",IFERROR(INDIRECT("'"&amp;$A8&amp;"'!E12"),""))</f>
        <v/>
      </c>
      <c r="E8" s="13">
        <f>IF($A8="","",IFERROR(INDIRECT("'"&amp;$A8&amp;"'!E13"),""))</f>
        <v/>
      </c>
      <c r="F8" s="14">
        <f>IF($A8="","",IFERROR(INDIRECT("'"&amp;$A8&amp;"'!E15"),""))</f>
        <v/>
      </c>
      <c r="G8" s="15">
        <f>IF($A8="","",IFERROR(INDIRECT("'"&amp;$A8&amp;"'!E16"),""))</f>
        <v/>
      </c>
      <c r="H8" s="16">
        <f>IF($A8="","",IFERROR(INDIRECT("'"&amp;$A8&amp;"'!E18"),""))</f>
        <v/>
      </c>
      <c r="I8" s="15">
        <f>IF($A8="","",IFERROR(INDIRECT("'"&amp;$A8&amp;"'!E19"),""))</f>
        <v/>
      </c>
      <c r="J8" s="17">
        <f>IF($A8="","",IF(AND(F8&lt;=$B$30,G8&lt;=$B$31,I8&gt;=$B$32),"합격 — 세 지표 모두 목표 도달",IF(COUNT(F8,G8,I8)=0,"※ A열 탭 이름을 확인하세요 (해당 시트 없음)","교정 중 — 아래 목표선과 비교")))</f>
        <v/>
      </c>
    </row>
    <row r="9">
      <c r="A9" s="10" t="n"/>
      <c r="B9" s="18">
        <f>IF($A9="","",IFERROR(INDIRECT("'"&amp;$A9&amp;"'!B5"),""))</f>
        <v/>
      </c>
      <c r="C9" s="19">
        <f>IF($A9="","",IFERROR(INDIRECT("'"&amp;$A9&amp;"'!E11"),""))</f>
        <v/>
      </c>
      <c r="D9" s="19">
        <f>IF($A9="","",IFERROR(INDIRECT("'"&amp;$A9&amp;"'!E12"),""))</f>
        <v/>
      </c>
      <c r="E9" s="20">
        <f>IF($A9="","",IFERROR(INDIRECT("'"&amp;$A9&amp;"'!E13"),""))</f>
        <v/>
      </c>
      <c r="F9" s="21">
        <f>IF($A9="","",IFERROR(INDIRECT("'"&amp;$A9&amp;"'!E15"),""))</f>
        <v/>
      </c>
      <c r="G9" s="22">
        <f>IF($A9="","",IFERROR(INDIRECT("'"&amp;$A9&amp;"'!E16"),""))</f>
        <v/>
      </c>
      <c r="H9" s="23">
        <f>IF($A9="","",IFERROR(INDIRECT("'"&amp;$A9&amp;"'!E18"),""))</f>
        <v/>
      </c>
      <c r="I9" s="22">
        <f>IF($A9="","",IFERROR(INDIRECT("'"&amp;$A9&amp;"'!E19"),""))</f>
        <v/>
      </c>
      <c r="J9" s="24">
        <f>IF($A9="","",IF(AND(F9&lt;=$B$30,G9&lt;=$B$31,I9&gt;=$B$32),"합격 — 세 지표 모두 목표 도달",IF(COUNT(F9,G9,I9)=0,"※ A열 탭 이름을 확인하세요 (해당 시트 없음)","교정 중 — 아래 목표선과 비교")))</f>
        <v/>
      </c>
    </row>
    <row r="10">
      <c r="A10" s="10" t="n"/>
      <c r="B10" s="11">
        <f>IF($A10="","",IFERROR(INDIRECT("'"&amp;$A10&amp;"'!B5"),""))</f>
        <v/>
      </c>
      <c r="C10" s="12">
        <f>IF($A10="","",IFERROR(INDIRECT("'"&amp;$A10&amp;"'!E11"),""))</f>
        <v/>
      </c>
      <c r="D10" s="12">
        <f>IF($A10="","",IFERROR(INDIRECT("'"&amp;$A10&amp;"'!E12"),""))</f>
        <v/>
      </c>
      <c r="E10" s="13">
        <f>IF($A10="","",IFERROR(INDIRECT("'"&amp;$A10&amp;"'!E13"),""))</f>
        <v/>
      </c>
      <c r="F10" s="14">
        <f>IF($A10="","",IFERROR(INDIRECT("'"&amp;$A10&amp;"'!E15"),""))</f>
        <v/>
      </c>
      <c r="G10" s="15">
        <f>IF($A10="","",IFERROR(INDIRECT("'"&amp;$A10&amp;"'!E16"),""))</f>
        <v/>
      </c>
      <c r="H10" s="16">
        <f>IF($A10="","",IFERROR(INDIRECT("'"&amp;$A10&amp;"'!E18"),""))</f>
        <v/>
      </c>
      <c r="I10" s="15">
        <f>IF($A10="","",IFERROR(INDIRECT("'"&amp;$A10&amp;"'!E19"),""))</f>
        <v/>
      </c>
      <c r="J10" s="17">
        <f>IF($A10="","",IF(AND(F10&lt;=$B$30,G10&lt;=$B$31,I10&gt;=$B$32),"합격 — 세 지표 모두 목표 도달",IF(COUNT(F10,G10,I10)=0,"※ A열 탭 이름을 확인하세요 (해당 시트 없음)","교정 중 — 아래 목표선과 비교")))</f>
        <v/>
      </c>
    </row>
    <row r="11">
      <c r="A11" s="10" t="n"/>
      <c r="B11" s="18">
        <f>IF($A11="","",IFERROR(INDIRECT("'"&amp;$A11&amp;"'!B5"),""))</f>
        <v/>
      </c>
      <c r="C11" s="19">
        <f>IF($A11="","",IFERROR(INDIRECT("'"&amp;$A11&amp;"'!E11"),""))</f>
        <v/>
      </c>
      <c r="D11" s="19">
        <f>IF($A11="","",IFERROR(INDIRECT("'"&amp;$A11&amp;"'!E12"),""))</f>
        <v/>
      </c>
      <c r="E11" s="20">
        <f>IF($A11="","",IFERROR(INDIRECT("'"&amp;$A11&amp;"'!E13"),""))</f>
        <v/>
      </c>
      <c r="F11" s="21">
        <f>IF($A11="","",IFERROR(INDIRECT("'"&amp;$A11&amp;"'!E15"),""))</f>
        <v/>
      </c>
      <c r="G11" s="22">
        <f>IF($A11="","",IFERROR(INDIRECT("'"&amp;$A11&amp;"'!E16"),""))</f>
        <v/>
      </c>
      <c r="H11" s="23">
        <f>IF($A11="","",IFERROR(INDIRECT("'"&amp;$A11&amp;"'!E18"),""))</f>
        <v/>
      </c>
      <c r="I11" s="22">
        <f>IF($A11="","",IFERROR(INDIRECT("'"&amp;$A11&amp;"'!E19"),""))</f>
        <v/>
      </c>
      <c r="J11" s="24">
        <f>IF($A11="","",IF(AND(F11&lt;=$B$30,G11&lt;=$B$31,I11&gt;=$B$32),"합격 — 세 지표 모두 목표 도달",IF(COUNT(F11,G11,I11)=0,"※ A열 탭 이름을 확인하세요 (해당 시트 없음)","교정 중 — 아래 목표선과 비교")))</f>
        <v/>
      </c>
    </row>
    <row r="12">
      <c r="A12" s="10" t="n"/>
      <c r="B12" s="11">
        <f>IF($A12="","",IFERROR(INDIRECT("'"&amp;$A12&amp;"'!B5"),""))</f>
        <v/>
      </c>
      <c r="C12" s="12">
        <f>IF($A12="","",IFERROR(INDIRECT("'"&amp;$A12&amp;"'!E11"),""))</f>
        <v/>
      </c>
      <c r="D12" s="12">
        <f>IF($A12="","",IFERROR(INDIRECT("'"&amp;$A12&amp;"'!E12"),""))</f>
        <v/>
      </c>
      <c r="E12" s="13">
        <f>IF($A12="","",IFERROR(INDIRECT("'"&amp;$A12&amp;"'!E13"),""))</f>
        <v/>
      </c>
      <c r="F12" s="14">
        <f>IF($A12="","",IFERROR(INDIRECT("'"&amp;$A12&amp;"'!E15"),""))</f>
        <v/>
      </c>
      <c r="G12" s="15">
        <f>IF($A12="","",IFERROR(INDIRECT("'"&amp;$A12&amp;"'!E16"),""))</f>
        <v/>
      </c>
      <c r="H12" s="16">
        <f>IF($A12="","",IFERROR(INDIRECT("'"&amp;$A12&amp;"'!E18"),""))</f>
        <v/>
      </c>
      <c r="I12" s="15">
        <f>IF($A12="","",IFERROR(INDIRECT("'"&amp;$A12&amp;"'!E19"),""))</f>
        <v/>
      </c>
      <c r="J12" s="17">
        <f>IF($A12="","",IF(AND(F12&lt;=$B$30,G12&lt;=$B$31,I12&gt;=$B$32),"합격 — 세 지표 모두 목표 도달",IF(COUNT(F12,G12,I12)=0,"※ A열 탭 이름을 확인하세요 (해당 시트 없음)","교정 중 — 아래 목표선과 비교")))</f>
        <v/>
      </c>
    </row>
    <row r="13">
      <c r="A13" s="10" t="n"/>
      <c r="B13" s="18">
        <f>IF($A13="","",IFERROR(INDIRECT("'"&amp;$A13&amp;"'!B5"),""))</f>
        <v/>
      </c>
      <c r="C13" s="19">
        <f>IF($A13="","",IFERROR(INDIRECT("'"&amp;$A13&amp;"'!E11"),""))</f>
        <v/>
      </c>
      <c r="D13" s="19">
        <f>IF($A13="","",IFERROR(INDIRECT("'"&amp;$A13&amp;"'!E12"),""))</f>
        <v/>
      </c>
      <c r="E13" s="20">
        <f>IF($A13="","",IFERROR(INDIRECT("'"&amp;$A13&amp;"'!E13"),""))</f>
        <v/>
      </c>
      <c r="F13" s="21">
        <f>IF($A13="","",IFERROR(INDIRECT("'"&amp;$A13&amp;"'!E15"),""))</f>
        <v/>
      </c>
      <c r="G13" s="22">
        <f>IF($A13="","",IFERROR(INDIRECT("'"&amp;$A13&amp;"'!E16"),""))</f>
        <v/>
      </c>
      <c r="H13" s="23">
        <f>IF($A13="","",IFERROR(INDIRECT("'"&amp;$A13&amp;"'!E18"),""))</f>
        <v/>
      </c>
      <c r="I13" s="22">
        <f>IF($A13="","",IFERROR(INDIRECT("'"&amp;$A13&amp;"'!E19"),""))</f>
        <v/>
      </c>
      <c r="J13" s="24">
        <f>IF($A13="","",IF(AND(F13&lt;=$B$30,G13&lt;=$B$31,I13&gt;=$B$32),"합격 — 세 지표 모두 목표 도달",IF(COUNT(F13,G13,I13)=0,"※ A열 탭 이름을 확인하세요 (해당 시트 없음)","교정 중 — 아래 목표선과 비교")))</f>
        <v/>
      </c>
    </row>
    <row r="14">
      <c r="A14" s="10" t="n"/>
      <c r="B14" s="11">
        <f>IF($A14="","",IFERROR(INDIRECT("'"&amp;$A14&amp;"'!B5"),""))</f>
        <v/>
      </c>
      <c r="C14" s="12">
        <f>IF($A14="","",IFERROR(INDIRECT("'"&amp;$A14&amp;"'!E11"),""))</f>
        <v/>
      </c>
      <c r="D14" s="12">
        <f>IF($A14="","",IFERROR(INDIRECT("'"&amp;$A14&amp;"'!E12"),""))</f>
        <v/>
      </c>
      <c r="E14" s="13">
        <f>IF($A14="","",IFERROR(INDIRECT("'"&amp;$A14&amp;"'!E13"),""))</f>
        <v/>
      </c>
      <c r="F14" s="14">
        <f>IF($A14="","",IFERROR(INDIRECT("'"&amp;$A14&amp;"'!E15"),""))</f>
        <v/>
      </c>
      <c r="G14" s="15">
        <f>IF($A14="","",IFERROR(INDIRECT("'"&amp;$A14&amp;"'!E16"),""))</f>
        <v/>
      </c>
      <c r="H14" s="16">
        <f>IF($A14="","",IFERROR(INDIRECT("'"&amp;$A14&amp;"'!E18"),""))</f>
        <v/>
      </c>
      <c r="I14" s="15">
        <f>IF($A14="","",IFERROR(INDIRECT("'"&amp;$A14&amp;"'!E19"),""))</f>
        <v/>
      </c>
      <c r="J14" s="17">
        <f>IF($A14="","",IF(AND(F14&lt;=$B$30,G14&lt;=$B$31,I14&gt;=$B$32),"합격 — 세 지표 모두 목표 도달",IF(COUNT(F14,G14,I14)=0,"※ A열 탭 이름을 확인하세요 (해당 시트 없음)","교정 중 — 아래 목표선과 비교")))</f>
        <v/>
      </c>
    </row>
    <row r="15">
      <c r="A15" s="10" t="n"/>
      <c r="B15" s="18">
        <f>IF($A15="","",IFERROR(INDIRECT("'"&amp;$A15&amp;"'!B5"),""))</f>
        <v/>
      </c>
      <c r="C15" s="19">
        <f>IF($A15="","",IFERROR(INDIRECT("'"&amp;$A15&amp;"'!E11"),""))</f>
        <v/>
      </c>
      <c r="D15" s="19">
        <f>IF($A15="","",IFERROR(INDIRECT("'"&amp;$A15&amp;"'!E12"),""))</f>
        <v/>
      </c>
      <c r="E15" s="20">
        <f>IF($A15="","",IFERROR(INDIRECT("'"&amp;$A15&amp;"'!E13"),""))</f>
        <v/>
      </c>
      <c r="F15" s="21">
        <f>IF($A15="","",IFERROR(INDIRECT("'"&amp;$A15&amp;"'!E15"),""))</f>
        <v/>
      </c>
      <c r="G15" s="22">
        <f>IF($A15="","",IFERROR(INDIRECT("'"&amp;$A15&amp;"'!E16"),""))</f>
        <v/>
      </c>
      <c r="H15" s="23">
        <f>IF($A15="","",IFERROR(INDIRECT("'"&amp;$A15&amp;"'!E18"),""))</f>
        <v/>
      </c>
      <c r="I15" s="22">
        <f>IF($A15="","",IFERROR(INDIRECT("'"&amp;$A15&amp;"'!E19"),""))</f>
        <v/>
      </c>
      <c r="J15" s="24">
        <f>IF($A15="","",IF(AND(F15&lt;=$B$30,G15&lt;=$B$31,I15&gt;=$B$32),"합격 — 세 지표 모두 목표 도달",IF(COUNT(F15,G15,I15)=0,"※ A열 탭 이름을 확인하세요 (해당 시트 없음)","교정 중 — 아래 목표선과 비교")))</f>
        <v/>
      </c>
    </row>
    <row r="16">
      <c r="A16" s="10" t="n"/>
      <c r="B16" s="11">
        <f>IF($A16="","",IFERROR(INDIRECT("'"&amp;$A16&amp;"'!B5"),""))</f>
        <v/>
      </c>
      <c r="C16" s="12">
        <f>IF($A16="","",IFERROR(INDIRECT("'"&amp;$A16&amp;"'!E11"),""))</f>
        <v/>
      </c>
      <c r="D16" s="12">
        <f>IF($A16="","",IFERROR(INDIRECT("'"&amp;$A16&amp;"'!E12"),""))</f>
        <v/>
      </c>
      <c r="E16" s="13">
        <f>IF($A16="","",IFERROR(INDIRECT("'"&amp;$A16&amp;"'!E13"),""))</f>
        <v/>
      </c>
      <c r="F16" s="14">
        <f>IF($A16="","",IFERROR(INDIRECT("'"&amp;$A16&amp;"'!E15"),""))</f>
        <v/>
      </c>
      <c r="G16" s="15">
        <f>IF($A16="","",IFERROR(INDIRECT("'"&amp;$A16&amp;"'!E16"),""))</f>
        <v/>
      </c>
      <c r="H16" s="16">
        <f>IF($A16="","",IFERROR(INDIRECT("'"&amp;$A16&amp;"'!E18"),""))</f>
        <v/>
      </c>
      <c r="I16" s="15">
        <f>IF($A16="","",IFERROR(INDIRECT("'"&amp;$A16&amp;"'!E19"),""))</f>
        <v/>
      </c>
      <c r="J16" s="17">
        <f>IF($A16="","",IF(AND(F16&lt;=$B$30,G16&lt;=$B$31,I16&gt;=$B$32),"합격 — 세 지표 모두 목표 도달",IF(COUNT(F16,G16,I16)=0,"※ A열 탭 이름을 확인하세요 (해당 시트 없음)","교정 중 — 아래 목표선과 비교")))</f>
        <v/>
      </c>
    </row>
    <row r="17">
      <c r="A17" s="10" t="n"/>
      <c r="B17" s="18">
        <f>IF($A17="","",IFERROR(INDIRECT("'"&amp;$A17&amp;"'!B5"),""))</f>
        <v/>
      </c>
      <c r="C17" s="19">
        <f>IF($A17="","",IFERROR(INDIRECT("'"&amp;$A17&amp;"'!E11"),""))</f>
        <v/>
      </c>
      <c r="D17" s="19">
        <f>IF($A17="","",IFERROR(INDIRECT("'"&amp;$A17&amp;"'!E12"),""))</f>
        <v/>
      </c>
      <c r="E17" s="20">
        <f>IF($A17="","",IFERROR(INDIRECT("'"&amp;$A17&amp;"'!E13"),""))</f>
        <v/>
      </c>
      <c r="F17" s="21">
        <f>IF($A17="","",IFERROR(INDIRECT("'"&amp;$A17&amp;"'!E15"),""))</f>
        <v/>
      </c>
      <c r="G17" s="22">
        <f>IF($A17="","",IFERROR(INDIRECT("'"&amp;$A17&amp;"'!E16"),""))</f>
        <v/>
      </c>
      <c r="H17" s="23">
        <f>IF($A17="","",IFERROR(INDIRECT("'"&amp;$A17&amp;"'!E18"),""))</f>
        <v/>
      </c>
      <c r="I17" s="22">
        <f>IF($A17="","",IFERROR(INDIRECT("'"&amp;$A17&amp;"'!E19"),""))</f>
        <v/>
      </c>
      <c r="J17" s="24">
        <f>IF($A17="","",IF(AND(F17&lt;=$B$30,G17&lt;=$B$31,I17&gt;=$B$32),"합격 — 세 지표 모두 목표 도달",IF(COUNT(F17,G17,I17)=0,"※ A열 탭 이름을 확인하세요 (해당 시트 없음)","교정 중 — 아래 목표선과 비교")))</f>
        <v/>
      </c>
    </row>
    <row r="18">
      <c r="A18" s="10" t="n"/>
      <c r="B18" s="11">
        <f>IF($A18="","",IFERROR(INDIRECT("'"&amp;$A18&amp;"'!B5"),""))</f>
        <v/>
      </c>
      <c r="C18" s="12">
        <f>IF($A18="","",IFERROR(INDIRECT("'"&amp;$A18&amp;"'!E11"),""))</f>
        <v/>
      </c>
      <c r="D18" s="12">
        <f>IF($A18="","",IFERROR(INDIRECT("'"&amp;$A18&amp;"'!E12"),""))</f>
        <v/>
      </c>
      <c r="E18" s="13">
        <f>IF($A18="","",IFERROR(INDIRECT("'"&amp;$A18&amp;"'!E13"),""))</f>
        <v/>
      </c>
      <c r="F18" s="14">
        <f>IF($A18="","",IFERROR(INDIRECT("'"&amp;$A18&amp;"'!E15"),""))</f>
        <v/>
      </c>
      <c r="G18" s="15">
        <f>IF($A18="","",IFERROR(INDIRECT("'"&amp;$A18&amp;"'!E16"),""))</f>
        <v/>
      </c>
      <c r="H18" s="16">
        <f>IF($A18="","",IFERROR(INDIRECT("'"&amp;$A18&amp;"'!E18"),""))</f>
        <v/>
      </c>
      <c r="I18" s="15">
        <f>IF($A18="","",IFERROR(INDIRECT("'"&amp;$A18&amp;"'!E19"),""))</f>
        <v/>
      </c>
      <c r="J18" s="17">
        <f>IF($A18="","",IF(AND(F18&lt;=$B$30,G18&lt;=$B$31,I18&gt;=$B$32),"합격 — 세 지표 모두 목표 도달",IF(COUNT(F18,G18,I18)=0,"※ A열 탭 이름을 확인하세요 (해당 시트 없음)","교정 중 — 아래 목표선과 비교")))</f>
        <v/>
      </c>
    </row>
    <row r="19">
      <c r="A19" s="10" t="n"/>
      <c r="B19" s="18">
        <f>IF($A19="","",IFERROR(INDIRECT("'"&amp;$A19&amp;"'!B5"),""))</f>
        <v/>
      </c>
      <c r="C19" s="19">
        <f>IF($A19="","",IFERROR(INDIRECT("'"&amp;$A19&amp;"'!E11"),""))</f>
        <v/>
      </c>
      <c r="D19" s="19">
        <f>IF($A19="","",IFERROR(INDIRECT("'"&amp;$A19&amp;"'!E12"),""))</f>
        <v/>
      </c>
      <c r="E19" s="20">
        <f>IF($A19="","",IFERROR(INDIRECT("'"&amp;$A19&amp;"'!E13"),""))</f>
        <v/>
      </c>
      <c r="F19" s="21">
        <f>IF($A19="","",IFERROR(INDIRECT("'"&amp;$A19&amp;"'!E15"),""))</f>
        <v/>
      </c>
      <c r="G19" s="22">
        <f>IF($A19="","",IFERROR(INDIRECT("'"&amp;$A19&amp;"'!E16"),""))</f>
        <v/>
      </c>
      <c r="H19" s="23">
        <f>IF($A19="","",IFERROR(INDIRECT("'"&amp;$A19&amp;"'!E18"),""))</f>
        <v/>
      </c>
      <c r="I19" s="22">
        <f>IF($A19="","",IFERROR(INDIRECT("'"&amp;$A19&amp;"'!E19"),""))</f>
        <v/>
      </c>
      <c r="J19" s="24">
        <f>IF($A19="","",IF(AND(F19&lt;=$B$30,G19&lt;=$B$31,I19&gt;=$B$32),"합격 — 세 지표 모두 목표 도달",IF(COUNT(F19,G19,I19)=0,"※ A열 탭 이름을 확인하세요 (해당 시트 없음)","교정 중 — 아래 목표선과 비교")))</f>
        <v/>
      </c>
    </row>
    <row r="20">
      <c r="A20" s="10" t="n"/>
      <c r="B20" s="11">
        <f>IF($A20="","",IFERROR(INDIRECT("'"&amp;$A20&amp;"'!B5"),""))</f>
        <v/>
      </c>
      <c r="C20" s="12">
        <f>IF($A20="","",IFERROR(INDIRECT("'"&amp;$A20&amp;"'!E11"),""))</f>
        <v/>
      </c>
      <c r="D20" s="12">
        <f>IF($A20="","",IFERROR(INDIRECT("'"&amp;$A20&amp;"'!E12"),""))</f>
        <v/>
      </c>
      <c r="E20" s="13">
        <f>IF($A20="","",IFERROR(INDIRECT("'"&amp;$A20&amp;"'!E13"),""))</f>
        <v/>
      </c>
      <c r="F20" s="14">
        <f>IF($A20="","",IFERROR(INDIRECT("'"&amp;$A20&amp;"'!E15"),""))</f>
        <v/>
      </c>
      <c r="G20" s="15">
        <f>IF($A20="","",IFERROR(INDIRECT("'"&amp;$A20&amp;"'!E16"),""))</f>
        <v/>
      </c>
      <c r="H20" s="16">
        <f>IF($A20="","",IFERROR(INDIRECT("'"&amp;$A20&amp;"'!E18"),""))</f>
        <v/>
      </c>
      <c r="I20" s="15">
        <f>IF($A20="","",IFERROR(INDIRECT("'"&amp;$A20&amp;"'!E19"),""))</f>
        <v/>
      </c>
      <c r="J20" s="17">
        <f>IF($A20="","",IF(AND(F20&lt;=$B$30,G20&lt;=$B$31,I20&gt;=$B$32),"합격 — 세 지표 모두 목표 도달",IF(COUNT(F20,G20,I20)=0,"※ A열 탭 이름을 확인하세요 (해당 시트 없음)","교정 중 — 아래 목표선과 비교")))</f>
        <v/>
      </c>
    </row>
    <row r="21">
      <c r="A21" s="10" t="n"/>
      <c r="B21" s="18">
        <f>IF($A21="","",IFERROR(INDIRECT("'"&amp;$A21&amp;"'!B5"),""))</f>
        <v/>
      </c>
      <c r="C21" s="19">
        <f>IF($A21="","",IFERROR(INDIRECT("'"&amp;$A21&amp;"'!E11"),""))</f>
        <v/>
      </c>
      <c r="D21" s="19">
        <f>IF($A21="","",IFERROR(INDIRECT("'"&amp;$A21&amp;"'!E12"),""))</f>
        <v/>
      </c>
      <c r="E21" s="20">
        <f>IF($A21="","",IFERROR(INDIRECT("'"&amp;$A21&amp;"'!E13"),""))</f>
        <v/>
      </c>
      <c r="F21" s="21">
        <f>IF($A21="","",IFERROR(INDIRECT("'"&amp;$A21&amp;"'!E15"),""))</f>
        <v/>
      </c>
      <c r="G21" s="22">
        <f>IF($A21="","",IFERROR(INDIRECT("'"&amp;$A21&amp;"'!E16"),""))</f>
        <v/>
      </c>
      <c r="H21" s="23">
        <f>IF($A21="","",IFERROR(INDIRECT("'"&amp;$A21&amp;"'!E18"),""))</f>
        <v/>
      </c>
      <c r="I21" s="22">
        <f>IF($A21="","",IFERROR(INDIRECT("'"&amp;$A21&amp;"'!E19"),""))</f>
        <v/>
      </c>
      <c r="J21" s="24">
        <f>IF($A21="","",IF(AND(F21&lt;=$B$30,G21&lt;=$B$31,I21&gt;=$B$32),"합격 — 세 지표 모두 목표 도달",IF(COUNT(F21,G21,I21)=0,"※ A열 탭 이름을 확인하세요 (해당 시트 없음)","교정 중 — 아래 목표선과 비교")))</f>
        <v/>
      </c>
    </row>
    <row r="22">
      <c r="A22" s="10" t="n"/>
      <c r="B22" s="11">
        <f>IF($A22="","",IFERROR(INDIRECT("'"&amp;$A22&amp;"'!B5"),""))</f>
        <v/>
      </c>
      <c r="C22" s="12">
        <f>IF($A22="","",IFERROR(INDIRECT("'"&amp;$A22&amp;"'!E11"),""))</f>
        <v/>
      </c>
      <c r="D22" s="12">
        <f>IF($A22="","",IFERROR(INDIRECT("'"&amp;$A22&amp;"'!E12"),""))</f>
        <v/>
      </c>
      <c r="E22" s="13">
        <f>IF($A22="","",IFERROR(INDIRECT("'"&amp;$A22&amp;"'!E13"),""))</f>
        <v/>
      </c>
      <c r="F22" s="14">
        <f>IF($A22="","",IFERROR(INDIRECT("'"&amp;$A22&amp;"'!E15"),""))</f>
        <v/>
      </c>
      <c r="G22" s="15">
        <f>IF($A22="","",IFERROR(INDIRECT("'"&amp;$A22&amp;"'!E16"),""))</f>
        <v/>
      </c>
      <c r="H22" s="16">
        <f>IF($A22="","",IFERROR(INDIRECT("'"&amp;$A22&amp;"'!E18"),""))</f>
        <v/>
      </c>
      <c r="I22" s="15">
        <f>IF($A22="","",IFERROR(INDIRECT("'"&amp;$A22&amp;"'!E19"),""))</f>
        <v/>
      </c>
      <c r="J22" s="17">
        <f>IF($A22="","",IF(AND(F22&lt;=$B$30,G22&lt;=$B$31,I22&gt;=$B$32),"합격 — 세 지표 모두 목표 도달",IF(COUNT(F22,G22,I22)=0,"※ A열 탭 이름을 확인하세요 (해당 시트 없음)","교정 중 — 아래 목표선과 비교")))</f>
        <v/>
      </c>
    </row>
    <row r="23">
      <c r="A23" s="10" t="n"/>
      <c r="B23" s="18">
        <f>IF($A23="","",IFERROR(INDIRECT("'"&amp;$A23&amp;"'!B5"),""))</f>
        <v/>
      </c>
      <c r="C23" s="19">
        <f>IF($A23="","",IFERROR(INDIRECT("'"&amp;$A23&amp;"'!E11"),""))</f>
        <v/>
      </c>
      <c r="D23" s="19">
        <f>IF($A23="","",IFERROR(INDIRECT("'"&amp;$A23&amp;"'!E12"),""))</f>
        <v/>
      </c>
      <c r="E23" s="20">
        <f>IF($A23="","",IFERROR(INDIRECT("'"&amp;$A23&amp;"'!E13"),""))</f>
        <v/>
      </c>
      <c r="F23" s="21">
        <f>IF($A23="","",IFERROR(INDIRECT("'"&amp;$A23&amp;"'!E15"),""))</f>
        <v/>
      </c>
      <c r="G23" s="22">
        <f>IF($A23="","",IFERROR(INDIRECT("'"&amp;$A23&amp;"'!E16"),""))</f>
        <v/>
      </c>
      <c r="H23" s="23">
        <f>IF($A23="","",IFERROR(INDIRECT("'"&amp;$A23&amp;"'!E18"),""))</f>
        <v/>
      </c>
      <c r="I23" s="22">
        <f>IF($A23="","",IFERROR(INDIRECT("'"&amp;$A23&amp;"'!E19"),""))</f>
        <v/>
      </c>
      <c r="J23" s="24">
        <f>IF($A23="","",IF(AND(F23&lt;=$B$30,G23&lt;=$B$31,I23&gt;=$B$32),"합격 — 세 지표 모두 목표 도달",IF(COUNT(F23,G23,I23)=0,"※ A열 탭 이름을 확인하세요 (해당 시트 없음)","교정 중 — 아래 목표선과 비교")))</f>
        <v/>
      </c>
    </row>
    <row r="24">
      <c r="A24" s="10" t="n"/>
      <c r="B24" s="11">
        <f>IF($A24="","",IFERROR(INDIRECT("'"&amp;$A24&amp;"'!B5"),""))</f>
        <v/>
      </c>
      <c r="C24" s="12">
        <f>IF($A24="","",IFERROR(INDIRECT("'"&amp;$A24&amp;"'!E11"),""))</f>
        <v/>
      </c>
      <c r="D24" s="12">
        <f>IF($A24="","",IFERROR(INDIRECT("'"&amp;$A24&amp;"'!E12"),""))</f>
        <v/>
      </c>
      <c r="E24" s="13">
        <f>IF($A24="","",IFERROR(INDIRECT("'"&amp;$A24&amp;"'!E13"),""))</f>
        <v/>
      </c>
      <c r="F24" s="14">
        <f>IF($A24="","",IFERROR(INDIRECT("'"&amp;$A24&amp;"'!E15"),""))</f>
        <v/>
      </c>
      <c r="G24" s="15">
        <f>IF($A24="","",IFERROR(INDIRECT("'"&amp;$A24&amp;"'!E16"),""))</f>
        <v/>
      </c>
      <c r="H24" s="16">
        <f>IF($A24="","",IFERROR(INDIRECT("'"&amp;$A24&amp;"'!E18"),""))</f>
        <v/>
      </c>
      <c r="I24" s="15">
        <f>IF($A24="","",IFERROR(INDIRECT("'"&amp;$A24&amp;"'!E19"),""))</f>
        <v/>
      </c>
      <c r="J24" s="17">
        <f>IF($A24="","",IF(AND(F24&lt;=$B$30,G24&lt;=$B$31,I24&gt;=$B$32),"합격 — 세 지표 모두 목표 도달",IF(COUNT(F24,G24,I24)=0,"※ A열 탭 이름을 확인하세요 (해당 시트 없음)","교정 중 — 아래 목표선과 비교")))</f>
        <v/>
      </c>
    </row>
    <row r="25">
      <c r="A25" s="10" t="n"/>
      <c r="B25" s="18">
        <f>IF($A25="","",IFERROR(INDIRECT("'"&amp;$A25&amp;"'!B5"),""))</f>
        <v/>
      </c>
      <c r="C25" s="19">
        <f>IF($A25="","",IFERROR(INDIRECT("'"&amp;$A25&amp;"'!E11"),""))</f>
        <v/>
      </c>
      <c r="D25" s="19">
        <f>IF($A25="","",IFERROR(INDIRECT("'"&amp;$A25&amp;"'!E12"),""))</f>
        <v/>
      </c>
      <c r="E25" s="20">
        <f>IF($A25="","",IFERROR(INDIRECT("'"&amp;$A25&amp;"'!E13"),""))</f>
        <v/>
      </c>
      <c r="F25" s="21">
        <f>IF($A25="","",IFERROR(INDIRECT("'"&amp;$A25&amp;"'!E15"),""))</f>
        <v/>
      </c>
      <c r="G25" s="22">
        <f>IF($A25="","",IFERROR(INDIRECT("'"&amp;$A25&amp;"'!E16"),""))</f>
        <v/>
      </c>
      <c r="H25" s="23">
        <f>IF($A25="","",IFERROR(INDIRECT("'"&amp;$A25&amp;"'!E18"),""))</f>
        <v/>
      </c>
      <c r="I25" s="22">
        <f>IF($A25="","",IFERROR(INDIRECT("'"&amp;$A25&amp;"'!E19"),""))</f>
        <v/>
      </c>
      <c r="J25" s="24">
        <f>IF($A25="","",IF(AND(F25&lt;=$B$30,G25&lt;=$B$31,I25&gt;=$B$32),"합격 — 세 지표 모두 목표 도달",IF(COUNT(F25,G25,I25)=0,"※ A열 탭 이름을 확인하세요 (해당 시트 없음)","교정 중 — 아래 목표선과 비교")))</f>
        <v/>
      </c>
    </row>
    <row r="28">
      <c r="A28" s="3" t="inlineStr">
        <is>
          <t>목표선</t>
        </is>
      </c>
    </row>
    <row r="29" ht="30" customHeight="1">
      <c r="A29" s="9" t="inlineStr">
        <is>
          <t>항목</t>
        </is>
      </c>
      <c r="B29" s="9" t="inlineStr">
        <is>
          <t>목표값</t>
        </is>
      </c>
      <c r="C29" s="9" t="inlineStr">
        <is>
          <t>현재 최고</t>
        </is>
      </c>
      <c r="D29" s="9" t="inlineStr">
        <is>
          <t>설명</t>
        </is>
      </c>
      <c r="E29" s="9" t="inlineStr"/>
      <c r="F29" s="9" t="inlineStr"/>
      <c r="G29" s="9" t="inlineStr"/>
      <c r="H29" s="9" t="inlineStr"/>
      <c r="I29" s="9" t="inlineStr"/>
      <c r="J29" s="9" t="inlineStr"/>
    </row>
    <row r="30" ht="22" customHeight="1">
      <c r="A30" s="25" t="inlineStr">
        <is>
          <t>★ 머리 하강 @ 임팩트</t>
        </is>
      </c>
      <c r="B30" s="26" t="n">
        <v>0.01</v>
      </c>
      <c r="C30" s="27">
        <f>IF(COUNT(F6:F25)=0,"",MIN(F6:F25))</f>
        <v/>
      </c>
      <c r="D30" s="28" t="inlineStr">
        <is>
          <t>임팩트 순간 머리가 어드레스보다 내려간 정도. 작을수록 좋음</t>
        </is>
      </c>
      <c r="E30" s="68" t="n"/>
      <c r="F30" s="68" t="n"/>
      <c r="G30" s="68" t="n"/>
      <c r="H30" s="68" t="n"/>
      <c r="I30" s="68" t="n"/>
      <c r="J30" s="69" t="n"/>
    </row>
    <row r="31" ht="22" customHeight="1">
      <c r="A31" s="25" t="inlineStr">
        <is>
          <t>★ 최저점 시점 (ms)</t>
        </is>
      </c>
      <c r="B31" s="30" t="n">
        <v>0</v>
      </c>
      <c r="C31" s="31">
        <f>IF(COUNT(G6:G25)=0,"",MIN(G6:G25))</f>
        <v/>
      </c>
      <c r="D31" s="28" t="inlineStr">
        <is>
          <t>몸이 가장 낮아지는 시점. 0 이하 = 임팩트 전에 올라오는 중</t>
        </is>
      </c>
      <c r="E31" s="68" t="n"/>
      <c r="F31" s="68" t="n"/>
      <c r="G31" s="68" t="n"/>
      <c r="H31" s="68" t="n"/>
      <c r="I31" s="68" t="n"/>
      <c r="J31" s="69" t="n"/>
    </row>
    <row r="32" ht="22" customHeight="1">
      <c r="A32" s="25" t="inlineStr">
        <is>
          <t>★ 왼무릎 변화 (°)</t>
        </is>
      </c>
      <c r="B32" s="30" t="n">
        <v>0</v>
      </c>
      <c r="C32" s="31">
        <f>IF(COUNT(I6:I25)=0,"",MAX(I6:I25))</f>
        <v/>
      </c>
      <c r="D32" s="28" t="inlineStr">
        <is>
          <t>임팩트−어드레스. 0 이상이면 지면을 밀고 있다는 뜻</t>
        </is>
      </c>
      <c r="E32" s="68" t="n"/>
      <c r="F32" s="68" t="n"/>
      <c r="G32" s="68" t="n"/>
      <c r="H32" s="68" t="n"/>
      <c r="I32" s="68" t="n"/>
      <c r="J32" s="69" t="n"/>
    </row>
    <row r="33" ht="22" customHeight="1">
      <c r="A33" s="25" t="inlineStr">
        <is>
          <t>계측 기록 횟수</t>
        </is>
      </c>
      <c r="B33" s="32" t="inlineStr">
        <is>
          <t>—</t>
        </is>
      </c>
      <c r="C33" s="33">
        <f>COUNTA(A6:A25)</f>
        <v/>
      </c>
      <c r="D33" s="28" t="inlineStr">
        <is>
          <t>주 1회 촬영 권장</t>
        </is>
      </c>
      <c r="E33" s="68" t="n"/>
      <c r="F33" s="68" t="n"/>
      <c r="G33" s="68" t="n"/>
      <c r="H33" s="68" t="n"/>
      <c r="I33" s="68" t="n"/>
      <c r="J33" s="69" t="n"/>
    </row>
    <row r="34" ht="22" customHeight="1">
      <c r="A34" s="25" t="inlineStr">
        <is>
          <t>연습 세션 누적</t>
        </is>
      </c>
      <c r="B34" s="32" t="inlineStr">
        <is>
          <t>—</t>
        </is>
      </c>
      <c r="C34" s="33">
        <f>COUNTA(연습일지!A5:A64)</f>
        <v/>
      </c>
      <c r="D34" s="28" t="inlineStr">
        <is>
          <t>주 3회 권장. 연습일지에서 자동 집계</t>
        </is>
      </c>
      <c r="E34" s="68" t="n"/>
      <c r="F34" s="68" t="n"/>
      <c r="G34" s="68" t="n"/>
      <c r="H34" s="68" t="n"/>
      <c r="I34" s="68" t="n"/>
      <c r="J34" s="69" t="n"/>
    </row>
    <row r="35" ht="22" customHeight="1">
      <c r="A35" s="25" t="inlineStr">
        <is>
          <t>평균 센터히트 (/10)</t>
        </is>
      </c>
      <c r="B35" s="34" t="n">
        <v>8</v>
      </c>
      <c r="C35" s="35">
        <f>IF(COUNT(연습일지!H5:H64)=0,"",AVERAGE(연습일지!H5:H64))</f>
        <v/>
      </c>
      <c r="D35" s="28" t="inlineStr">
        <is>
          <t>연습일지 전체 평균</t>
        </is>
      </c>
      <c r="E35" s="68" t="n"/>
      <c r="F35" s="68" t="n"/>
      <c r="G35" s="68" t="n"/>
      <c r="H35" s="68" t="n"/>
      <c r="I35" s="68" t="n"/>
      <c r="J35" s="69" t="n"/>
    </row>
    <row r="36">
      <c r="A36" s="2" t="inlineStr">
        <is>
          <t>※ B30·B31·B32 의 목표값은 J열 종합판정이 그대로 참조합니다. 목표를 바꾸려면 이 세 칸만 고치세요.</t>
        </is>
      </c>
    </row>
    <row r="37">
      <c r="A37" s="2" t="inlineStr">
        <is>
          <t>※ 그래프는 기록이 쌓이면 자동으로 채워집니다.</t>
        </is>
      </c>
    </row>
  </sheetData>
  <mergeCells count="11">
    <mergeCell ref="D31:J31"/>
    <mergeCell ref="A1:J1"/>
    <mergeCell ref="D32:J32"/>
    <mergeCell ref="A36:J36"/>
    <mergeCell ref="D35:J35"/>
    <mergeCell ref="A4:J4"/>
    <mergeCell ref="D34:J34"/>
    <mergeCell ref="D30:J30"/>
    <mergeCell ref="A2:J2"/>
    <mergeCell ref="D33:J33"/>
    <mergeCell ref="A28:J28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4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0" customWidth="1" min="7" max="7"/>
    <col width="40" customWidth="1" min="8" max="8"/>
  </cols>
  <sheetData>
    <row r="1" ht="28" customHeight="1">
      <c r="A1" s="1" t="inlineStr">
        <is>
          <t>골프 스윙 계측 기록</t>
        </is>
      </c>
    </row>
    <row r="2">
      <c r="A2" s="2" t="inlineStr">
        <is>
          <t>노란 칸에 측정값을 입력하면 평균·판정이 자동 계산됩니다. 파란 글씨 = 입력값, 검은 글씨 = 자동 계산.</t>
        </is>
      </c>
    </row>
    <row r="3">
      <c r="A3" s="4" t="inlineStr">
        <is>
          <t>기록일자</t>
        </is>
      </c>
      <c r="B3" s="36" t="inlineStr">
        <is>
          <t>2026-09-06</t>
        </is>
      </c>
      <c r="C3" s="68" t="n"/>
      <c r="D3" s="68" t="n"/>
      <c r="E3" s="69" t="n"/>
    </row>
    <row r="4">
      <c r="A4" s="4" t="inlineStr">
        <is>
          <t>장소</t>
        </is>
      </c>
      <c r="B4" s="36" t="inlineStr">
        <is>
          <t>실외 연습장 (캐노피 타석)</t>
        </is>
      </c>
      <c r="C4" s="68" t="n"/>
      <c r="D4" s="68" t="n"/>
      <c r="E4" s="69" t="n"/>
    </row>
    <row r="5">
      <c r="A5" s="4" t="inlineStr">
        <is>
          <t>클럽</t>
        </is>
      </c>
      <c r="B5" s="36" t="inlineStr">
        <is>
          <t>드라이버 (또는 우드)</t>
        </is>
      </c>
      <c r="C5" s="68" t="n"/>
      <c r="D5" s="68" t="n"/>
      <c r="E5" s="69" t="n"/>
    </row>
    <row r="6">
      <c r="A6" s="4" t="inlineStr">
        <is>
          <t>촬영 규격</t>
        </is>
      </c>
      <c r="B6" s="36" t="inlineStr">
        <is>
          <t>후방 사선 · 1080×1920 · 30fps · 74.07초 · 스윙 3회</t>
        </is>
      </c>
      <c r="C6" s="68" t="n"/>
      <c r="D6" s="68" t="n"/>
      <c r="E6" s="69" t="n"/>
    </row>
    <row r="7">
      <c r="A7" s="4" t="inlineStr">
        <is>
          <t>분석 방법</t>
        </is>
      </c>
      <c r="B7" s="36" t="inlineStr">
        <is>
          <t>MediaPipe Pose Landmarker(heavy) 프레임 단위 관절 추적 · 2,222프레임</t>
        </is>
      </c>
      <c r="C7" s="68" t="n"/>
      <c r="D7" s="68" t="n"/>
      <c r="E7" s="69" t="n"/>
    </row>
    <row r="9" ht="22" customHeight="1">
      <c r="A9" s="8" t="inlineStr">
        <is>
          <t xml:space="preserve">  1.  스윙별 계측</t>
        </is>
      </c>
    </row>
    <row r="10" ht="30" customHeight="1">
      <c r="A10" s="9" t="inlineStr">
        <is>
          <t>항목</t>
        </is>
      </c>
      <c r="B10" s="9" t="inlineStr">
        <is>
          <t>스윙 1</t>
        </is>
      </c>
      <c r="C10" s="9" t="inlineStr">
        <is>
          <t>스윙 2</t>
        </is>
      </c>
      <c r="D10" s="9" t="inlineStr">
        <is>
          <t>스윙 3</t>
        </is>
      </c>
      <c r="E10" s="9" t="inlineStr">
        <is>
          <t>평균</t>
        </is>
      </c>
      <c r="F10" s="9" t="inlineStr">
        <is>
          <t>목표</t>
        </is>
      </c>
      <c r="G10" s="9" t="inlineStr">
        <is>
          <t>판정</t>
        </is>
      </c>
      <c r="H10" s="9" t="inlineStr">
        <is>
          <t>비고</t>
        </is>
      </c>
    </row>
    <row r="11" ht="24" customHeight="1">
      <c r="A11" s="37" t="inlineStr">
        <is>
          <t>백스윙 시간 (초)</t>
        </is>
      </c>
      <c r="B11" s="38" t="n">
        <v>0.97</v>
      </c>
      <c r="C11" s="38" t="n">
        <v>1</v>
      </c>
      <c r="D11" s="38" t="n">
        <v>0.8</v>
      </c>
      <c r="E11" s="39">
        <f>IF(COUNT(B11:D11)=0,"",AVERAGE(B11:D11))</f>
        <v/>
      </c>
      <c r="F11" s="40" t="n">
        <v>0.75</v>
      </c>
      <c r="G11" s="41" t="inlineStr">
        <is>
          <t>—</t>
        </is>
      </c>
      <c r="H11" s="42" t="inlineStr">
        <is>
          <t>투어 평균 0.75초. 참고용.</t>
        </is>
      </c>
    </row>
    <row r="12" ht="24" customHeight="1">
      <c r="A12" s="37" t="inlineStr">
        <is>
          <t>다운스윙 시간 (초)</t>
        </is>
      </c>
      <c r="B12" s="38" t="n">
        <v>0.2</v>
      </c>
      <c r="C12" s="38" t="n">
        <v>0.2</v>
      </c>
      <c r="D12" s="38" t="n">
        <v>0.3</v>
      </c>
      <c r="E12" s="39">
        <f>IF(COUNT(B12:D12)=0,"",AVERAGE(B12:D12))</f>
        <v/>
      </c>
      <c r="F12" s="40" t="n">
        <v>0.25</v>
      </c>
      <c r="G12" s="41" t="inlineStr">
        <is>
          <t>—</t>
        </is>
      </c>
      <c r="H12" s="42" t="inlineStr">
        <is>
          <t>투어 평균 0.25초. 참고용.</t>
        </is>
      </c>
    </row>
    <row r="13" ht="24" customHeight="1">
      <c r="A13" s="37" t="inlineStr">
        <is>
          <t>템포비 (백스윙÷다운스윙)</t>
        </is>
      </c>
      <c r="B13" s="43">
        <f>IF(OR(B12=0,B12=""),"",B11/B12)</f>
        <v/>
      </c>
      <c r="C13" s="43">
        <f>IF(OR(C12=0,C12=""),"",C11/C12)</f>
        <v/>
      </c>
      <c r="D13" s="43">
        <f>IF(OR(D12=0,D12=""),"",D11/D12)</f>
        <v/>
      </c>
      <c r="E13" s="44">
        <f>IF(COUNT(B13:D13)=0,"",AVERAGE(B13:D13))</f>
        <v/>
      </c>
      <c r="F13" s="45" t="n">
        <v>3</v>
      </c>
      <c r="G13" s="41">
        <f>IF(E13="","",IF(E13&lt;=F13,"합격","미달"))</f>
        <v/>
      </c>
      <c r="H13" s="42" t="inlineStr">
        <is>
          <t>투어 평균 3.0:1. 4.0 넘으면 전환이 급한 것.</t>
        </is>
      </c>
    </row>
    <row r="14" ht="24" customHeight="1">
      <c r="A14" s="37" t="inlineStr">
        <is>
          <t>머리 하강 @ 백스윙 탑</t>
        </is>
      </c>
      <c r="B14" s="46" t="n">
        <v>0.007</v>
      </c>
      <c r="C14" s="46" t="n">
        <v>-0.001</v>
      </c>
      <c r="D14" s="46" t="n">
        <v>-0.002</v>
      </c>
      <c r="E14" s="47">
        <f>IF(COUNT(B14:D14)=0,"",AVERAGE(B14:D14))</f>
        <v/>
      </c>
      <c r="F14" s="48" t="n">
        <v>0.01</v>
      </c>
      <c r="G14" s="41">
        <f>IF(E14="","",IF(E14&lt;=F14,"합격","미달"))</f>
        <v/>
      </c>
      <c r="H14" s="42" t="inlineStr">
        <is>
          <t>+가 내려감. 탑까지는 유지되어야 정상.</t>
        </is>
      </c>
    </row>
    <row r="15" ht="24" customHeight="1">
      <c r="A15" s="49" t="inlineStr">
        <is>
          <t>★ 머리 하강 @ 임팩트</t>
        </is>
      </c>
      <c r="B15" s="46" t="n">
        <v>0.035</v>
      </c>
      <c r="C15" s="46" t="n">
        <v>0.031</v>
      </c>
      <c r="D15" s="46" t="n">
        <v>0.05</v>
      </c>
      <c r="E15" s="47">
        <f>IF(COUNT(B15:D15)=0,"",AVERAGE(B15:D15))</f>
        <v/>
      </c>
      <c r="F15" s="48" t="n">
        <v>0.01</v>
      </c>
      <c r="G15" s="41">
        <f>IF(E15="","",IF(E15&lt;=F15,"합격","미달"))</f>
        <v/>
      </c>
      <c r="H15" s="42" t="inlineStr">
        <is>
          <t>★핵심지표. 이 값을 1.0% 이하로.</t>
        </is>
      </c>
    </row>
    <row r="16" ht="24" customHeight="1">
      <c r="A16" s="49" t="inlineStr">
        <is>
          <t>★ 최저점 시점 (ms)</t>
        </is>
      </c>
      <c r="B16" s="50" t="n">
        <v>167</v>
      </c>
      <c r="C16" s="50" t="n">
        <v>133</v>
      </c>
      <c r="D16" s="50" t="n">
        <v>100</v>
      </c>
      <c r="E16" s="51">
        <f>IF(COUNT(B16:D16)=0,"",AVERAGE(B16:D16))</f>
        <v/>
      </c>
      <c r="F16" s="52" t="n">
        <v>0</v>
      </c>
      <c r="G16" s="41">
        <f>IF(E16="","",IF(E16&lt;=F16,"합격","미달"))</f>
        <v/>
      </c>
      <c r="H16" s="42" t="inlineStr">
        <is>
          <t>★핵심지표. 임팩트 대비. 0 이하 = 임팩트 전에 이미 올라오는 중.</t>
        </is>
      </c>
    </row>
    <row r="17" ht="24" customHeight="1">
      <c r="A17" s="37" t="inlineStr">
        <is>
          <t>왼무릎 @ 어드레스 (°)</t>
        </is>
      </c>
      <c r="B17" s="53" t="n">
        <v>163</v>
      </c>
      <c r="C17" s="53" t="n">
        <v>165</v>
      </c>
      <c r="D17" s="53" t="n">
        <v>160</v>
      </c>
      <c r="E17" s="54">
        <f>IF(COUNT(B17:D17)=0,"",AVERAGE(B17:D17))</f>
        <v/>
      </c>
      <c r="F17" s="55" t="n"/>
      <c r="G17" s="41" t="inlineStr">
        <is>
          <t>—</t>
        </is>
      </c>
      <c r="H17" s="42" t="inlineStr">
        <is>
          <t>기준값.</t>
        </is>
      </c>
    </row>
    <row r="18" ht="24" customHeight="1">
      <c r="A18" s="49" t="inlineStr">
        <is>
          <t>★ 왼무릎 @ 임팩트 (°)</t>
        </is>
      </c>
      <c r="B18" s="53" t="n">
        <v>149</v>
      </c>
      <c r="C18" s="53" t="n">
        <v>145</v>
      </c>
      <c r="D18" s="53" t="n">
        <v>130</v>
      </c>
      <c r="E18" s="54">
        <f>IF(COUNT(B18:D18)=0,"",AVERAGE(B18:D18))</f>
        <v/>
      </c>
      <c r="F18" s="55" t="n"/>
      <c r="G18" s="41" t="inlineStr">
        <is>
          <t>—</t>
        </is>
      </c>
      <c r="H18" s="42" t="inlineStr">
        <is>
          <t>어드레스보다 커야(펴져야) 정상.</t>
        </is>
      </c>
    </row>
    <row r="19" ht="24" customHeight="1">
      <c r="A19" s="49" t="inlineStr">
        <is>
          <t>★ 왼무릎 변화 (°)</t>
        </is>
      </c>
      <c r="B19" s="56">
        <f>IF(OR(B17="",B18=""),"",B18-B17)</f>
        <v/>
      </c>
      <c r="C19" s="56">
        <f>IF(OR(C17="",C18=""),"",C18-C17)</f>
        <v/>
      </c>
      <c r="D19" s="56">
        <f>IF(OR(D17="",D18=""),"",D18-D17)</f>
        <v/>
      </c>
      <c r="E19" s="51">
        <f>IF(COUNT(B19:D19)=0,"",AVERAGE(B19:D19))</f>
        <v/>
      </c>
      <c r="F19" s="52" t="n">
        <v>0</v>
      </c>
      <c r="G19" s="41">
        <f>IF(E19="","",IF(E19&gt;=F19,"합격","미달"))</f>
        <v/>
      </c>
      <c r="H19" s="42" t="inlineStr">
        <is>
          <t>★핵심지표. 임팩트−어드레스. +면 폄, −면 주저앉음.</t>
        </is>
      </c>
    </row>
    <row r="20" ht="24" customHeight="1">
      <c r="A20" s="37" t="inlineStr">
        <is>
          <t>머리 좌우 이동 (px)</t>
        </is>
      </c>
      <c r="B20" s="57" t="n">
        <v>13</v>
      </c>
      <c r="C20" s="57" t="n">
        <v>32</v>
      </c>
      <c r="D20" s="57" t="n">
        <v>29</v>
      </c>
      <c r="E20" s="58">
        <f>IF(COUNT(B20:D20)=0,"",AVERAGE(B20:D20))</f>
        <v/>
      </c>
      <c r="F20" s="59" t="n">
        <v>40</v>
      </c>
      <c r="G20" s="41">
        <f>IF(E20="","",IF(E20&lt;=F20,"합격","미달"))</f>
        <v/>
      </c>
      <c r="H20" s="42" t="inlineStr">
        <is>
          <t>어드레스→임팩트. 몸 높이의 4% 이내면 정상.</t>
        </is>
      </c>
    </row>
    <row r="21">
      <c r="A21" s="2" t="inlineStr">
        <is>
          <t>측정 규칙 — 머리 높이는 양쪽 귀 중점을, 몸 높이는 머리~발목 길이를 기준으로 %로 환산합니다. 무릎 각도는 고관절-무릎-발목 사잇각이며 180°가 완전히 편 상태입니다.</t>
        </is>
      </c>
    </row>
    <row r="23" ht="22" customHeight="1">
      <c r="A23" s="8" t="inlineStr">
        <is>
          <t xml:space="preserve">  2.  종합 판정</t>
        </is>
      </c>
    </row>
    <row r="24" ht="30" customHeight="1">
      <c r="A24" s="9" t="inlineStr">
        <is>
          <t>구분</t>
        </is>
      </c>
      <c r="B24" s="9" t="inlineStr">
        <is>
          <t>내용</t>
        </is>
      </c>
      <c r="C24" s="9" t="inlineStr"/>
      <c r="D24" s="9" t="inlineStr"/>
      <c r="E24" s="9" t="inlineStr"/>
      <c r="F24" s="9" t="inlineStr"/>
      <c r="G24" s="9" t="inlineStr"/>
      <c r="H24" s="9" t="inlineStr"/>
    </row>
    <row r="25" ht="34" customHeight="1">
      <c r="A25" s="60" t="inlineStr">
        <is>
          <t>확인된 결함</t>
        </is>
      </c>
      <c r="B25" s="61" t="inlineStr">
        <is>
          <t>임팩트 구간의 상하 움직임 미제어. 백스윙 탑까지는 머리 높이가 유지되나(±0.7%), 다운스윙 0.2초 동안 3.1~5.0% 내려가고 최저점이 임팩트보다 100~167ms 늦다. 3회 모두 같은 방향·같은 크기.</t>
        </is>
      </c>
      <c r="C25" s="68" t="n"/>
      <c r="D25" s="68" t="n"/>
      <c r="E25" s="68" t="n"/>
      <c r="F25" s="68" t="n"/>
      <c r="G25" s="68" t="n"/>
      <c r="H25" s="69" t="n"/>
    </row>
    <row r="26" ht="34" customHeight="1">
      <c r="A26" s="60" t="inlineStr">
        <is>
          <t>원인</t>
        </is>
      </c>
      <c r="B26" s="61" t="inlineStr">
        <is>
          <t>왼다리(리드)가 임팩트에서 펴지지 않고 오히려 14~30° 더 굽는다. 지면을 밀어내는 힘이 없어 몸이 주저앉고, 스윙 아크의 중심이 볼을 지난 뒤까지 내려간다.</t>
        </is>
      </c>
      <c r="C26" s="68" t="n"/>
      <c r="D26" s="68" t="n"/>
      <c r="E26" s="68" t="n"/>
      <c r="F26" s="68" t="n"/>
      <c r="G26" s="68" t="n"/>
      <c r="H26" s="69" t="n"/>
    </row>
    <row r="27" ht="34" customHeight="1">
      <c r="A27" s="60" t="inlineStr">
        <is>
          <t>증상 연결</t>
        </is>
      </c>
      <c r="B27" s="61" t="inlineStr">
        <is>
          <t>아크 바닥이 볼보다 뒤·아래로 가므로 팔을 들어 보상하게 되고, 보상량이 샷마다 달라 뒤땅과 토핑이 교대로 나온다. 이것이 '아이언 정타 불량'과 캐리 편차의 정체.</t>
        </is>
      </c>
      <c r="C27" s="68" t="n"/>
      <c r="D27" s="68" t="n"/>
      <c r="E27" s="68" t="n"/>
      <c r="F27" s="68" t="n"/>
      <c r="G27" s="68" t="n"/>
      <c r="H27" s="69" t="n"/>
    </row>
    <row r="28" ht="34" customHeight="1">
      <c r="A28" s="60" t="inlineStr">
        <is>
          <t>이 계측의 한계</t>
        </is>
      </c>
      <c r="B28" s="61" t="inlineStr">
        <is>
          <t>① 클럽이 드라이버여서 아이언 스윙은 미확인 ② 카메라가 사선이라 스윙 플레인·핸드퍼스트·클럽패스는 측정 불가 ③ 30fps라 시점 오차 ±33ms. 단 3회 모두 같은 결과라 결론은 유지.</t>
        </is>
      </c>
      <c r="C28" s="68" t="n"/>
      <c r="D28" s="68" t="n"/>
      <c r="E28" s="68" t="n"/>
      <c r="F28" s="68" t="n"/>
      <c r="G28" s="68" t="n"/>
      <c r="H28" s="69" t="n"/>
    </row>
    <row r="30" ht="22" customHeight="1">
      <c r="A30" s="8" t="inlineStr">
        <is>
          <t xml:space="preserve">  3.  다음 기록까지 할 것</t>
        </is>
      </c>
    </row>
    <row r="31" ht="26" customHeight="1">
      <c r="A31" s="25" t="inlineStr">
        <is>
          <t>1.</t>
        </is>
      </c>
      <c r="B31" s="61" t="inlineStr">
        <is>
          <t>D7 왼발 밀기 드릴 — 매 세션 빈 스윙 10 + 실타 25구 (4주간 1순위)</t>
        </is>
      </c>
      <c r="C31" s="68" t="n"/>
      <c r="D31" s="68" t="n"/>
      <c r="E31" s="68" t="n"/>
      <c r="F31" s="68" t="n"/>
      <c r="G31" s="68" t="n"/>
      <c r="H31" s="69" t="n"/>
    </row>
    <row r="32" ht="26" customHeight="1">
      <c r="A32" s="25" t="inlineStr">
        <is>
          <t>2.</t>
        </is>
      </c>
      <c r="B32" s="61" t="inlineStr">
        <is>
          <t>매주 후방 영상 1개 촬영 → 임팩트 프레임 머리가 어드레스 선 대비 15px 이내인지 확인</t>
        </is>
      </c>
      <c r="C32" s="68" t="n"/>
      <c r="D32" s="68" t="n"/>
      <c r="E32" s="68" t="n"/>
      <c r="F32" s="68" t="n"/>
      <c r="G32" s="68" t="n"/>
      <c r="H32" s="69" t="n"/>
    </row>
    <row r="33" ht="26" customHeight="1">
      <c r="A33" s="25" t="inlineStr">
        <is>
          <t>3.</t>
        </is>
      </c>
      <c r="B33" s="61" t="inlineStr">
        <is>
          <t>7번 아이언으로 재촬영 (실제 문제 클럽이 아직 미확인)</t>
        </is>
      </c>
      <c r="C33" s="68" t="n"/>
      <c r="D33" s="68" t="n"/>
      <c r="E33" s="68" t="n"/>
      <c r="F33" s="68" t="n"/>
      <c r="G33" s="68" t="n"/>
      <c r="H33" s="69" t="n"/>
    </row>
    <row r="34" ht="26" customHeight="1">
      <c r="A34" s="25" t="inlineStr">
        <is>
          <t>4.</t>
        </is>
      </c>
      <c r="B34" s="61" t="inlineStr">
        <is>
          <t>가능하면 60fps 이상 · 정확한 후방(DTL)과 정면(FO) 두 각도로 촬영</t>
        </is>
      </c>
      <c r="C34" s="68" t="n"/>
      <c r="D34" s="68" t="n"/>
      <c r="E34" s="68" t="n"/>
      <c r="F34" s="68" t="n"/>
      <c r="G34" s="68" t="n"/>
      <c r="H34" s="69" t="n"/>
    </row>
  </sheetData>
  <mergeCells count="19">
    <mergeCell ref="A9:H9"/>
    <mergeCell ref="A30:H30"/>
    <mergeCell ref="B6:E6"/>
    <mergeCell ref="B5:E5"/>
    <mergeCell ref="A1:H1"/>
    <mergeCell ref="B33:H33"/>
    <mergeCell ref="B32:H32"/>
    <mergeCell ref="B26:H26"/>
    <mergeCell ref="B4:E4"/>
    <mergeCell ref="B7:E7"/>
    <mergeCell ref="B3:E3"/>
    <mergeCell ref="B25:H25"/>
    <mergeCell ref="B31:H31"/>
    <mergeCell ref="A21:H21"/>
    <mergeCell ref="B27:H27"/>
    <mergeCell ref="A2:H2"/>
    <mergeCell ref="A23:H23"/>
    <mergeCell ref="B34:H34"/>
    <mergeCell ref="B28:H2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9" customWidth="1" min="3" max="3"/>
    <col width="12" customWidth="1" min="4" max="4"/>
    <col width="11" customWidth="1" min="5" max="5"/>
    <col width="10" customWidth="1" min="6" max="6"/>
    <col width="11" customWidth="1" min="7" max="7"/>
    <col width="10" customWidth="1" min="8" max="8"/>
    <col width="8" customWidth="1" min="9" max="9"/>
    <col width="8" customWidth="1" min="10" max="10"/>
    <col width="42" customWidth="1" min="11" max="11"/>
  </cols>
  <sheetData>
    <row r="1" ht="28" customHeight="1">
      <c r="A1" s="1" t="inlineStr">
        <is>
          <t>연습일지</t>
        </is>
      </c>
    </row>
    <row r="2">
      <c r="A2" s="2" t="inlineStr">
        <is>
          <t>연습장 갈 때마다 한 줄씩. 노란 칸을 채우세요. 4행은 작성 예시입니다 — 실제 기록은 5행부터.</t>
        </is>
      </c>
    </row>
    <row r="3" ht="30" customHeight="1">
      <c r="A3" s="9" t="inlineStr">
        <is>
          <t>일자</t>
        </is>
      </c>
      <c r="B3" s="9" t="inlineStr">
        <is>
          <t>장소</t>
        </is>
      </c>
      <c r="C3" s="9" t="inlineStr">
        <is>
          <t>시간(분)</t>
        </is>
      </c>
      <c r="D3" s="9" t="inlineStr">
        <is>
          <t>클럽</t>
        </is>
      </c>
      <c r="E3" s="9" t="inlineStr">
        <is>
          <t>D7 왼발밀기
(구)</t>
        </is>
      </c>
      <c r="F3" s="9" t="inlineStr">
        <is>
          <t>D2 라인
(구)</t>
        </is>
      </c>
      <c r="G3" s="9" t="inlineStr">
        <is>
          <t>D1 티게이트
(구)</t>
        </is>
      </c>
      <c r="H3" s="9" t="inlineStr">
        <is>
          <t>센터히트
(/10)</t>
        </is>
      </c>
      <c r="I3" s="9" t="inlineStr">
        <is>
          <t>뒤땅
(회)</t>
        </is>
      </c>
      <c r="J3" s="9" t="inlineStr">
        <is>
          <t>토핑
(회)</t>
        </is>
      </c>
      <c r="K3" s="9" t="inlineStr">
        <is>
          <t>메모</t>
        </is>
      </c>
    </row>
    <row r="4">
      <c r="A4" s="62" t="inlineStr">
        <is>
          <t>2026-09-08</t>
        </is>
      </c>
      <c r="B4" s="63" t="inlineStr">
        <is>
          <t>○○연습장</t>
        </is>
      </c>
      <c r="C4" s="64" t="n">
        <v>60</v>
      </c>
      <c r="D4" s="64" t="inlineStr">
        <is>
          <t>7번</t>
        </is>
      </c>
      <c r="E4" s="64" t="n">
        <v>25</v>
      </c>
      <c r="F4" s="64" t="n">
        <v>15</v>
      </c>
      <c r="G4" s="64" t="n">
        <v>20</v>
      </c>
      <c r="H4" s="64" t="n">
        <v>4</v>
      </c>
      <c r="I4" s="64" t="n">
        <v>3</v>
      </c>
      <c r="J4" s="64" t="n">
        <v>2</v>
      </c>
      <c r="K4" s="63" t="inlineStr">
        <is>
          <t>예시 행입니다. 왼발 밀기 할 때 상체가 같이 들려서 토핑 2회.</t>
        </is>
      </c>
    </row>
    <row r="5">
      <c r="A5" s="65" t="n"/>
      <c r="B5" s="66" t="n"/>
      <c r="C5" s="67" t="n"/>
      <c r="D5" s="67" t="n"/>
      <c r="E5" s="67" t="n"/>
      <c r="F5" s="67" t="n"/>
      <c r="G5" s="67" t="n"/>
      <c r="H5" s="67" t="n"/>
      <c r="I5" s="67" t="n"/>
      <c r="J5" s="67" t="n"/>
      <c r="K5" s="66" t="n"/>
    </row>
    <row r="6">
      <c r="A6" s="65" t="n"/>
      <c r="B6" s="66" t="n"/>
      <c r="C6" s="67" t="n"/>
      <c r="D6" s="67" t="n"/>
      <c r="E6" s="67" t="n"/>
      <c r="F6" s="67" t="n"/>
      <c r="G6" s="67" t="n"/>
      <c r="H6" s="67" t="n"/>
      <c r="I6" s="67" t="n"/>
      <c r="J6" s="67" t="n"/>
      <c r="K6" s="66" t="n"/>
    </row>
    <row r="7">
      <c r="A7" s="65" t="n"/>
      <c r="B7" s="66" t="n"/>
      <c r="C7" s="67" t="n"/>
      <c r="D7" s="67" t="n"/>
      <c r="E7" s="67" t="n"/>
      <c r="F7" s="67" t="n"/>
      <c r="G7" s="67" t="n"/>
      <c r="H7" s="67" t="n"/>
      <c r="I7" s="67" t="n"/>
      <c r="J7" s="67" t="n"/>
      <c r="K7" s="66" t="n"/>
    </row>
    <row r="8">
      <c r="A8" s="65" t="n"/>
      <c r="B8" s="66" t="n"/>
      <c r="C8" s="67" t="n"/>
      <c r="D8" s="67" t="n"/>
      <c r="E8" s="67" t="n"/>
      <c r="F8" s="67" t="n"/>
      <c r="G8" s="67" t="n"/>
      <c r="H8" s="67" t="n"/>
      <c r="I8" s="67" t="n"/>
      <c r="J8" s="67" t="n"/>
      <c r="K8" s="66" t="n"/>
    </row>
    <row r="9">
      <c r="A9" s="65" t="n"/>
      <c r="B9" s="66" t="n"/>
      <c r="C9" s="67" t="n"/>
      <c r="D9" s="67" t="n"/>
      <c r="E9" s="67" t="n"/>
      <c r="F9" s="67" t="n"/>
      <c r="G9" s="67" t="n"/>
      <c r="H9" s="67" t="n"/>
      <c r="I9" s="67" t="n"/>
      <c r="J9" s="67" t="n"/>
      <c r="K9" s="66" t="n"/>
    </row>
    <row r="10">
      <c r="A10" s="65" t="n"/>
      <c r="B10" s="66" t="n"/>
      <c r="C10" s="67" t="n"/>
      <c r="D10" s="67" t="n"/>
      <c r="E10" s="67" t="n"/>
      <c r="F10" s="67" t="n"/>
      <c r="G10" s="67" t="n"/>
      <c r="H10" s="67" t="n"/>
      <c r="I10" s="67" t="n"/>
      <c r="J10" s="67" t="n"/>
      <c r="K10" s="66" t="n"/>
    </row>
    <row r="11">
      <c r="A11" s="65" t="n"/>
      <c r="B11" s="66" t="n"/>
      <c r="C11" s="67" t="n"/>
      <c r="D11" s="67" t="n"/>
      <c r="E11" s="67" t="n"/>
      <c r="F11" s="67" t="n"/>
      <c r="G11" s="67" t="n"/>
      <c r="H11" s="67" t="n"/>
      <c r="I11" s="67" t="n"/>
      <c r="J11" s="67" t="n"/>
      <c r="K11" s="66" t="n"/>
    </row>
    <row r="12">
      <c r="A12" s="65" t="n"/>
      <c r="B12" s="66" t="n"/>
      <c r="C12" s="67" t="n"/>
      <c r="D12" s="67" t="n"/>
      <c r="E12" s="67" t="n"/>
      <c r="F12" s="67" t="n"/>
      <c r="G12" s="67" t="n"/>
      <c r="H12" s="67" t="n"/>
      <c r="I12" s="67" t="n"/>
      <c r="J12" s="67" t="n"/>
      <c r="K12" s="66" t="n"/>
    </row>
    <row r="13">
      <c r="A13" s="65" t="n"/>
      <c r="B13" s="66" t="n"/>
      <c r="C13" s="67" t="n"/>
      <c r="D13" s="67" t="n"/>
      <c r="E13" s="67" t="n"/>
      <c r="F13" s="67" t="n"/>
      <c r="G13" s="67" t="n"/>
      <c r="H13" s="67" t="n"/>
      <c r="I13" s="67" t="n"/>
      <c r="J13" s="67" t="n"/>
      <c r="K13" s="66" t="n"/>
    </row>
    <row r="14">
      <c r="A14" s="65" t="n"/>
      <c r="B14" s="66" t="n"/>
      <c r="C14" s="67" t="n"/>
      <c r="D14" s="67" t="n"/>
      <c r="E14" s="67" t="n"/>
      <c r="F14" s="67" t="n"/>
      <c r="G14" s="67" t="n"/>
      <c r="H14" s="67" t="n"/>
      <c r="I14" s="67" t="n"/>
      <c r="J14" s="67" t="n"/>
      <c r="K14" s="66" t="n"/>
    </row>
    <row r="15">
      <c r="A15" s="65" t="n"/>
      <c r="B15" s="66" t="n"/>
      <c r="C15" s="67" t="n"/>
      <c r="D15" s="67" t="n"/>
      <c r="E15" s="67" t="n"/>
      <c r="F15" s="67" t="n"/>
      <c r="G15" s="67" t="n"/>
      <c r="H15" s="67" t="n"/>
      <c r="I15" s="67" t="n"/>
      <c r="J15" s="67" t="n"/>
      <c r="K15" s="66" t="n"/>
    </row>
    <row r="16">
      <c r="A16" s="65" t="n"/>
      <c r="B16" s="66" t="n"/>
      <c r="C16" s="67" t="n"/>
      <c r="D16" s="67" t="n"/>
      <c r="E16" s="67" t="n"/>
      <c r="F16" s="67" t="n"/>
      <c r="G16" s="67" t="n"/>
      <c r="H16" s="67" t="n"/>
      <c r="I16" s="67" t="n"/>
      <c r="J16" s="67" t="n"/>
      <c r="K16" s="66" t="n"/>
    </row>
    <row r="17">
      <c r="A17" s="65" t="n"/>
      <c r="B17" s="66" t="n"/>
      <c r="C17" s="67" t="n"/>
      <c r="D17" s="67" t="n"/>
      <c r="E17" s="67" t="n"/>
      <c r="F17" s="67" t="n"/>
      <c r="G17" s="67" t="n"/>
      <c r="H17" s="67" t="n"/>
      <c r="I17" s="67" t="n"/>
      <c r="J17" s="67" t="n"/>
      <c r="K17" s="66" t="n"/>
    </row>
    <row r="18">
      <c r="A18" s="65" t="n"/>
      <c r="B18" s="66" t="n"/>
      <c r="C18" s="67" t="n"/>
      <c r="D18" s="67" t="n"/>
      <c r="E18" s="67" t="n"/>
      <c r="F18" s="67" t="n"/>
      <c r="G18" s="67" t="n"/>
      <c r="H18" s="67" t="n"/>
      <c r="I18" s="67" t="n"/>
      <c r="J18" s="67" t="n"/>
      <c r="K18" s="66" t="n"/>
    </row>
    <row r="19">
      <c r="A19" s="65" t="n"/>
      <c r="B19" s="66" t="n"/>
      <c r="C19" s="67" t="n"/>
      <c r="D19" s="67" t="n"/>
      <c r="E19" s="67" t="n"/>
      <c r="F19" s="67" t="n"/>
      <c r="G19" s="67" t="n"/>
      <c r="H19" s="67" t="n"/>
      <c r="I19" s="67" t="n"/>
      <c r="J19" s="67" t="n"/>
      <c r="K19" s="66" t="n"/>
    </row>
    <row r="20">
      <c r="A20" s="65" t="n"/>
      <c r="B20" s="66" t="n"/>
      <c r="C20" s="67" t="n"/>
      <c r="D20" s="67" t="n"/>
      <c r="E20" s="67" t="n"/>
      <c r="F20" s="67" t="n"/>
      <c r="G20" s="67" t="n"/>
      <c r="H20" s="67" t="n"/>
      <c r="I20" s="67" t="n"/>
      <c r="J20" s="67" t="n"/>
      <c r="K20" s="66" t="n"/>
    </row>
    <row r="21">
      <c r="A21" s="65" t="n"/>
      <c r="B21" s="66" t="n"/>
      <c r="C21" s="67" t="n"/>
      <c r="D21" s="67" t="n"/>
      <c r="E21" s="67" t="n"/>
      <c r="F21" s="67" t="n"/>
      <c r="G21" s="67" t="n"/>
      <c r="H21" s="67" t="n"/>
      <c r="I21" s="67" t="n"/>
      <c r="J21" s="67" t="n"/>
      <c r="K21" s="66" t="n"/>
    </row>
    <row r="22">
      <c r="A22" s="65" t="n"/>
      <c r="B22" s="66" t="n"/>
      <c r="C22" s="67" t="n"/>
      <c r="D22" s="67" t="n"/>
      <c r="E22" s="67" t="n"/>
      <c r="F22" s="67" t="n"/>
      <c r="G22" s="67" t="n"/>
      <c r="H22" s="67" t="n"/>
      <c r="I22" s="67" t="n"/>
      <c r="J22" s="67" t="n"/>
      <c r="K22" s="66" t="n"/>
    </row>
    <row r="23">
      <c r="A23" s="65" t="n"/>
      <c r="B23" s="66" t="n"/>
      <c r="C23" s="67" t="n"/>
      <c r="D23" s="67" t="n"/>
      <c r="E23" s="67" t="n"/>
      <c r="F23" s="67" t="n"/>
      <c r="G23" s="67" t="n"/>
      <c r="H23" s="67" t="n"/>
      <c r="I23" s="67" t="n"/>
      <c r="J23" s="67" t="n"/>
      <c r="K23" s="66" t="n"/>
    </row>
    <row r="24">
      <c r="A24" s="65" t="n"/>
      <c r="B24" s="66" t="n"/>
      <c r="C24" s="67" t="n"/>
      <c r="D24" s="67" t="n"/>
      <c r="E24" s="67" t="n"/>
      <c r="F24" s="67" t="n"/>
      <c r="G24" s="67" t="n"/>
      <c r="H24" s="67" t="n"/>
      <c r="I24" s="67" t="n"/>
      <c r="J24" s="67" t="n"/>
      <c r="K24" s="66" t="n"/>
    </row>
    <row r="25">
      <c r="A25" s="65" t="n"/>
      <c r="B25" s="66" t="n"/>
      <c r="C25" s="67" t="n"/>
      <c r="D25" s="67" t="n"/>
      <c r="E25" s="67" t="n"/>
      <c r="F25" s="67" t="n"/>
      <c r="G25" s="67" t="n"/>
      <c r="H25" s="67" t="n"/>
      <c r="I25" s="67" t="n"/>
      <c r="J25" s="67" t="n"/>
      <c r="K25" s="66" t="n"/>
    </row>
    <row r="26">
      <c r="A26" s="65" t="n"/>
      <c r="B26" s="66" t="n"/>
      <c r="C26" s="67" t="n"/>
      <c r="D26" s="67" t="n"/>
      <c r="E26" s="67" t="n"/>
      <c r="F26" s="67" t="n"/>
      <c r="G26" s="67" t="n"/>
      <c r="H26" s="67" t="n"/>
      <c r="I26" s="67" t="n"/>
      <c r="J26" s="67" t="n"/>
      <c r="K26" s="66" t="n"/>
    </row>
    <row r="27">
      <c r="A27" s="65" t="n"/>
      <c r="B27" s="66" t="n"/>
      <c r="C27" s="67" t="n"/>
      <c r="D27" s="67" t="n"/>
      <c r="E27" s="67" t="n"/>
      <c r="F27" s="67" t="n"/>
      <c r="G27" s="67" t="n"/>
      <c r="H27" s="67" t="n"/>
      <c r="I27" s="67" t="n"/>
      <c r="J27" s="67" t="n"/>
      <c r="K27" s="66" t="n"/>
    </row>
    <row r="28">
      <c r="A28" s="65" t="n"/>
      <c r="B28" s="66" t="n"/>
      <c r="C28" s="67" t="n"/>
      <c r="D28" s="67" t="n"/>
      <c r="E28" s="67" t="n"/>
      <c r="F28" s="67" t="n"/>
      <c r="G28" s="67" t="n"/>
      <c r="H28" s="67" t="n"/>
      <c r="I28" s="67" t="n"/>
      <c r="J28" s="67" t="n"/>
      <c r="K28" s="66" t="n"/>
    </row>
    <row r="29">
      <c r="A29" s="65" t="n"/>
      <c r="B29" s="66" t="n"/>
      <c r="C29" s="67" t="n"/>
      <c r="D29" s="67" t="n"/>
      <c r="E29" s="67" t="n"/>
      <c r="F29" s="67" t="n"/>
      <c r="G29" s="67" t="n"/>
      <c r="H29" s="67" t="n"/>
      <c r="I29" s="67" t="n"/>
      <c r="J29" s="67" t="n"/>
      <c r="K29" s="66" t="n"/>
    </row>
    <row r="30">
      <c r="A30" s="65" t="n"/>
      <c r="B30" s="66" t="n"/>
      <c r="C30" s="67" t="n"/>
      <c r="D30" s="67" t="n"/>
      <c r="E30" s="67" t="n"/>
      <c r="F30" s="67" t="n"/>
      <c r="G30" s="67" t="n"/>
      <c r="H30" s="67" t="n"/>
      <c r="I30" s="67" t="n"/>
      <c r="J30" s="67" t="n"/>
      <c r="K30" s="66" t="n"/>
    </row>
    <row r="31">
      <c r="A31" s="65" t="n"/>
      <c r="B31" s="66" t="n"/>
      <c r="C31" s="67" t="n"/>
      <c r="D31" s="67" t="n"/>
      <c r="E31" s="67" t="n"/>
      <c r="F31" s="67" t="n"/>
      <c r="G31" s="67" t="n"/>
      <c r="H31" s="67" t="n"/>
      <c r="I31" s="67" t="n"/>
      <c r="J31" s="67" t="n"/>
      <c r="K31" s="66" t="n"/>
    </row>
    <row r="32">
      <c r="A32" s="65" t="n"/>
      <c r="B32" s="66" t="n"/>
      <c r="C32" s="67" t="n"/>
      <c r="D32" s="67" t="n"/>
      <c r="E32" s="67" t="n"/>
      <c r="F32" s="67" t="n"/>
      <c r="G32" s="67" t="n"/>
      <c r="H32" s="67" t="n"/>
      <c r="I32" s="67" t="n"/>
      <c r="J32" s="67" t="n"/>
      <c r="K32" s="66" t="n"/>
    </row>
    <row r="33">
      <c r="A33" s="65" t="n"/>
      <c r="B33" s="66" t="n"/>
      <c r="C33" s="67" t="n"/>
      <c r="D33" s="67" t="n"/>
      <c r="E33" s="67" t="n"/>
      <c r="F33" s="67" t="n"/>
      <c r="G33" s="67" t="n"/>
      <c r="H33" s="67" t="n"/>
      <c r="I33" s="67" t="n"/>
      <c r="J33" s="67" t="n"/>
      <c r="K33" s="66" t="n"/>
    </row>
    <row r="34">
      <c r="A34" s="65" t="n"/>
      <c r="B34" s="66" t="n"/>
      <c r="C34" s="67" t="n"/>
      <c r="D34" s="67" t="n"/>
      <c r="E34" s="67" t="n"/>
      <c r="F34" s="67" t="n"/>
      <c r="G34" s="67" t="n"/>
      <c r="H34" s="67" t="n"/>
      <c r="I34" s="67" t="n"/>
      <c r="J34" s="67" t="n"/>
      <c r="K34" s="66" t="n"/>
    </row>
    <row r="35">
      <c r="A35" s="65" t="n"/>
      <c r="B35" s="66" t="n"/>
      <c r="C35" s="67" t="n"/>
      <c r="D35" s="67" t="n"/>
      <c r="E35" s="67" t="n"/>
      <c r="F35" s="67" t="n"/>
      <c r="G35" s="67" t="n"/>
      <c r="H35" s="67" t="n"/>
      <c r="I35" s="67" t="n"/>
      <c r="J35" s="67" t="n"/>
      <c r="K35" s="66" t="n"/>
    </row>
    <row r="36">
      <c r="A36" s="65" t="n"/>
      <c r="B36" s="66" t="n"/>
      <c r="C36" s="67" t="n"/>
      <c r="D36" s="67" t="n"/>
      <c r="E36" s="67" t="n"/>
      <c r="F36" s="67" t="n"/>
      <c r="G36" s="67" t="n"/>
      <c r="H36" s="67" t="n"/>
      <c r="I36" s="67" t="n"/>
      <c r="J36" s="67" t="n"/>
      <c r="K36" s="66" t="n"/>
    </row>
    <row r="37">
      <c r="A37" s="65" t="n"/>
      <c r="B37" s="66" t="n"/>
      <c r="C37" s="67" t="n"/>
      <c r="D37" s="67" t="n"/>
      <c r="E37" s="67" t="n"/>
      <c r="F37" s="67" t="n"/>
      <c r="G37" s="67" t="n"/>
      <c r="H37" s="67" t="n"/>
      <c r="I37" s="67" t="n"/>
      <c r="J37" s="67" t="n"/>
      <c r="K37" s="66" t="n"/>
    </row>
    <row r="38">
      <c r="A38" s="65" t="n"/>
      <c r="B38" s="66" t="n"/>
      <c r="C38" s="67" t="n"/>
      <c r="D38" s="67" t="n"/>
      <c r="E38" s="67" t="n"/>
      <c r="F38" s="67" t="n"/>
      <c r="G38" s="67" t="n"/>
      <c r="H38" s="67" t="n"/>
      <c r="I38" s="67" t="n"/>
      <c r="J38" s="67" t="n"/>
      <c r="K38" s="66" t="n"/>
    </row>
    <row r="39">
      <c r="A39" s="65" t="n"/>
      <c r="B39" s="66" t="n"/>
      <c r="C39" s="67" t="n"/>
      <c r="D39" s="67" t="n"/>
      <c r="E39" s="67" t="n"/>
      <c r="F39" s="67" t="n"/>
      <c r="G39" s="67" t="n"/>
      <c r="H39" s="67" t="n"/>
      <c r="I39" s="67" t="n"/>
      <c r="J39" s="67" t="n"/>
      <c r="K39" s="66" t="n"/>
    </row>
    <row r="40">
      <c r="A40" s="65" t="n"/>
      <c r="B40" s="66" t="n"/>
      <c r="C40" s="67" t="n"/>
      <c r="D40" s="67" t="n"/>
      <c r="E40" s="67" t="n"/>
      <c r="F40" s="67" t="n"/>
      <c r="G40" s="67" t="n"/>
      <c r="H40" s="67" t="n"/>
      <c r="I40" s="67" t="n"/>
      <c r="J40" s="67" t="n"/>
      <c r="K40" s="66" t="n"/>
    </row>
    <row r="41">
      <c r="A41" s="65" t="n"/>
      <c r="B41" s="66" t="n"/>
      <c r="C41" s="67" t="n"/>
      <c r="D41" s="67" t="n"/>
      <c r="E41" s="67" t="n"/>
      <c r="F41" s="67" t="n"/>
      <c r="G41" s="67" t="n"/>
      <c r="H41" s="67" t="n"/>
      <c r="I41" s="67" t="n"/>
      <c r="J41" s="67" t="n"/>
      <c r="K41" s="66" t="n"/>
    </row>
    <row r="42">
      <c r="A42" s="65" t="n"/>
      <c r="B42" s="66" t="n"/>
      <c r="C42" s="67" t="n"/>
      <c r="D42" s="67" t="n"/>
      <c r="E42" s="67" t="n"/>
      <c r="F42" s="67" t="n"/>
      <c r="G42" s="67" t="n"/>
      <c r="H42" s="67" t="n"/>
      <c r="I42" s="67" t="n"/>
      <c r="J42" s="67" t="n"/>
      <c r="K42" s="66" t="n"/>
    </row>
    <row r="43">
      <c r="A43" s="65" t="n"/>
      <c r="B43" s="66" t="n"/>
      <c r="C43" s="67" t="n"/>
      <c r="D43" s="67" t="n"/>
      <c r="E43" s="67" t="n"/>
      <c r="F43" s="67" t="n"/>
      <c r="G43" s="67" t="n"/>
      <c r="H43" s="67" t="n"/>
      <c r="I43" s="67" t="n"/>
      <c r="J43" s="67" t="n"/>
      <c r="K43" s="66" t="n"/>
    </row>
    <row r="44">
      <c r="A44" s="65" t="n"/>
      <c r="B44" s="66" t="n"/>
      <c r="C44" s="67" t="n"/>
      <c r="D44" s="67" t="n"/>
      <c r="E44" s="67" t="n"/>
      <c r="F44" s="67" t="n"/>
      <c r="G44" s="67" t="n"/>
      <c r="H44" s="67" t="n"/>
      <c r="I44" s="67" t="n"/>
      <c r="J44" s="67" t="n"/>
      <c r="K44" s="66" t="n"/>
    </row>
    <row r="45">
      <c r="A45" s="65" t="n"/>
      <c r="B45" s="66" t="n"/>
      <c r="C45" s="67" t="n"/>
      <c r="D45" s="67" t="n"/>
      <c r="E45" s="67" t="n"/>
      <c r="F45" s="67" t="n"/>
      <c r="G45" s="67" t="n"/>
      <c r="H45" s="67" t="n"/>
      <c r="I45" s="67" t="n"/>
      <c r="J45" s="67" t="n"/>
      <c r="K45" s="66" t="n"/>
    </row>
    <row r="46">
      <c r="A46" s="65" t="n"/>
      <c r="B46" s="66" t="n"/>
      <c r="C46" s="67" t="n"/>
      <c r="D46" s="67" t="n"/>
      <c r="E46" s="67" t="n"/>
      <c r="F46" s="67" t="n"/>
      <c r="G46" s="67" t="n"/>
      <c r="H46" s="67" t="n"/>
      <c r="I46" s="67" t="n"/>
      <c r="J46" s="67" t="n"/>
      <c r="K46" s="66" t="n"/>
    </row>
    <row r="47">
      <c r="A47" s="65" t="n"/>
      <c r="B47" s="66" t="n"/>
      <c r="C47" s="67" t="n"/>
      <c r="D47" s="67" t="n"/>
      <c r="E47" s="67" t="n"/>
      <c r="F47" s="67" t="n"/>
      <c r="G47" s="67" t="n"/>
      <c r="H47" s="67" t="n"/>
      <c r="I47" s="67" t="n"/>
      <c r="J47" s="67" t="n"/>
      <c r="K47" s="66" t="n"/>
    </row>
    <row r="48">
      <c r="A48" s="65" t="n"/>
      <c r="B48" s="66" t="n"/>
      <c r="C48" s="67" t="n"/>
      <c r="D48" s="67" t="n"/>
      <c r="E48" s="67" t="n"/>
      <c r="F48" s="67" t="n"/>
      <c r="G48" s="67" t="n"/>
      <c r="H48" s="67" t="n"/>
      <c r="I48" s="67" t="n"/>
      <c r="J48" s="67" t="n"/>
      <c r="K48" s="66" t="n"/>
    </row>
    <row r="49">
      <c r="A49" s="65" t="n"/>
      <c r="B49" s="66" t="n"/>
      <c r="C49" s="67" t="n"/>
      <c r="D49" s="67" t="n"/>
      <c r="E49" s="67" t="n"/>
      <c r="F49" s="67" t="n"/>
      <c r="G49" s="67" t="n"/>
      <c r="H49" s="67" t="n"/>
      <c r="I49" s="67" t="n"/>
      <c r="J49" s="67" t="n"/>
      <c r="K49" s="66" t="n"/>
    </row>
    <row r="50">
      <c r="A50" s="65" t="n"/>
      <c r="B50" s="66" t="n"/>
      <c r="C50" s="67" t="n"/>
      <c r="D50" s="67" t="n"/>
      <c r="E50" s="67" t="n"/>
      <c r="F50" s="67" t="n"/>
      <c r="G50" s="67" t="n"/>
      <c r="H50" s="67" t="n"/>
      <c r="I50" s="67" t="n"/>
      <c r="J50" s="67" t="n"/>
      <c r="K50" s="66" t="n"/>
    </row>
    <row r="51">
      <c r="A51" s="65" t="n"/>
      <c r="B51" s="66" t="n"/>
      <c r="C51" s="67" t="n"/>
      <c r="D51" s="67" t="n"/>
      <c r="E51" s="67" t="n"/>
      <c r="F51" s="67" t="n"/>
      <c r="G51" s="67" t="n"/>
      <c r="H51" s="67" t="n"/>
      <c r="I51" s="67" t="n"/>
      <c r="J51" s="67" t="n"/>
      <c r="K51" s="66" t="n"/>
    </row>
    <row r="52">
      <c r="A52" s="65" t="n"/>
      <c r="B52" s="66" t="n"/>
      <c r="C52" s="67" t="n"/>
      <c r="D52" s="67" t="n"/>
      <c r="E52" s="67" t="n"/>
      <c r="F52" s="67" t="n"/>
      <c r="G52" s="67" t="n"/>
      <c r="H52" s="67" t="n"/>
      <c r="I52" s="67" t="n"/>
      <c r="J52" s="67" t="n"/>
      <c r="K52" s="66" t="n"/>
    </row>
    <row r="53">
      <c r="A53" s="65" t="n"/>
      <c r="B53" s="66" t="n"/>
      <c r="C53" s="67" t="n"/>
      <c r="D53" s="67" t="n"/>
      <c r="E53" s="67" t="n"/>
      <c r="F53" s="67" t="n"/>
      <c r="G53" s="67" t="n"/>
      <c r="H53" s="67" t="n"/>
      <c r="I53" s="67" t="n"/>
      <c r="J53" s="67" t="n"/>
      <c r="K53" s="66" t="n"/>
    </row>
    <row r="54">
      <c r="A54" s="65" t="n"/>
      <c r="B54" s="66" t="n"/>
      <c r="C54" s="67" t="n"/>
      <c r="D54" s="67" t="n"/>
      <c r="E54" s="67" t="n"/>
      <c r="F54" s="67" t="n"/>
      <c r="G54" s="67" t="n"/>
      <c r="H54" s="67" t="n"/>
      <c r="I54" s="67" t="n"/>
      <c r="J54" s="67" t="n"/>
      <c r="K54" s="66" t="n"/>
    </row>
    <row r="55">
      <c r="A55" s="65" t="n"/>
      <c r="B55" s="66" t="n"/>
      <c r="C55" s="67" t="n"/>
      <c r="D55" s="67" t="n"/>
      <c r="E55" s="67" t="n"/>
      <c r="F55" s="67" t="n"/>
      <c r="G55" s="67" t="n"/>
      <c r="H55" s="67" t="n"/>
      <c r="I55" s="67" t="n"/>
      <c r="J55" s="67" t="n"/>
      <c r="K55" s="66" t="n"/>
    </row>
    <row r="56">
      <c r="A56" s="65" t="n"/>
      <c r="B56" s="66" t="n"/>
      <c r="C56" s="67" t="n"/>
      <c r="D56" s="67" t="n"/>
      <c r="E56" s="67" t="n"/>
      <c r="F56" s="67" t="n"/>
      <c r="G56" s="67" t="n"/>
      <c r="H56" s="67" t="n"/>
      <c r="I56" s="67" t="n"/>
      <c r="J56" s="67" t="n"/>
      <c r="K56" s="66" t="n"/>
    </row>
    <row r="57">
      <c r="A57" s="65" t="n"/>
      <c r="B57" s="66" t="n"/>
      <c r="C57" s="67" t="n"/>
      <c r="D57" s="67" t="n"/>
      <c r="E57" s="67" t="n"/>
      <c r="F57" s="67" t="n"/>
      <c r="G57" s="67" t="n"/>
      <c r="H57" s="67" t="n"/>
      <c r="I57" s="67" t="n"/>
      <c r="J57" s="67" t="n"/>
      <c r="K57" s="66" t="n"/>
    </row>
    <row r="58">
      <c r="A58" s="65" t="n"/>
      <c r="B58" s="66" t="n"/>
      <c r="C58" s="67" t="n"/>
      <c r="D58" s="67" t="n"/>
      <c r="E58" s="67" t="n"/>
      <c r="F58" s="67" t="n"/>
      <c r="G58" s="67" t="n"/>
      <c r="H58" s="67" t="n"/>
      <c r="I58" s="67" t="n"/>
      <c r="J58" s="67" t="n"/>
      <c r="K58" s="66" t="n"/>
    </row>
    <row r="59">
      <c r="A59" s="65" t="n"/>
      <c r="B59" s="66" t="n"/>
      <c r="C59" s="67" t="n"/>
      <c r="D59" s="67" t="n"/>
      <c r="E59" s="67" t="n"/>
      <c r="F59" s="67" t="n"/>
      <c r="G59" s="67" t="n"/>
      <c r="H59" s="67" t="n"/>
      <c r="I59" s="67" t="n"/>
      <c r="J59" s="67" t="n"/>
      <c r="K59" s="66" t="n"/>
    </row>
    <row r="60">
      <c r="A60" s="65" t="n"/>
      <c r="B60" s="66" t="n"/>
      <c r="C60" s="67" t="n"/>
      <c r="D60" s="67" t="n"/>
      <c r="E60" s="67" t="n"/>
      <c r="F60" s="67" t="n"/>
      <c r="G60" s="67" t="n"/>
      <c r="H60" s="67" t="n"/>
      <c r="I60" s="67" t="n"/>
      <c r="J60" s="67" t="n"/>
      <c r="K60" s="66" t="n"/>
    </row>
    <row r="61">
      <c r="A61" s="65" t="n"/>
      <c r="B61" s="66" t="n"/>
      <c r="C61" s="67" t="n"/>
      <c r="D61" s="67" t="n"/>
      <c r="E61" s="67" t="n"/>
      <c r="F61" s="67" t="n"/>
      <c r="G61" s="67" t="n"/>
      <c r="H61" s="67" t="n"/>
      <c r="I61" s="67" t="n"/>
      <c r="J61" s="67" t="n"/>
      <c r="K61" s="66" t="n"/>
    </row>
    <row r="62">
      <c r="A62" s="65" t="n"/>
      <c r="B62" s="66" t="n"/>
      <c r="C62" s="67" t="n"/>
      <c r="D62" s="67" t="n"/>
      <c r="E62" s="67" t="n"/>
      <c r="F62" s="67" t="n"/>
      <c r="G62" s="67" t="n"/>
      <c r="H62" s="67" t="n"/>
      <c r="I62" s="67" t="n"/>
      <c r="J62" s="67" t="n"/>
      <c r="K62" s="66" t="n"/>
    </row>
    <row r="63">
      <c r="A63" s="65" t="n"/>
      <c r="B63" s="66" t="n"/>
      <c r="C63" s="67" t="n"/>
      <c r="D63" s="67" t="n"/>
      <c r="E63" s="67" t="n"/>
      <c r="F63" s="67" t="n"/>
      <c r="G63" s="67" t="n"/>
      <c r="H63" s="67" t="n"/>
      <c r="I63" s="67" t="n"/>
      <c r="J63" s="67" t="n"/>
      <c r="K63" s="66" t="n"/>
    </row>
    <row r="64">
      <c r="A64" s="65" t="n"/>
      <c r="B64" s="66" t="n"/>
      <c r="C64" s="67" t="n"/>
      <c r="D64" s="67" t="n"/>
      <c r="E64" s="67" t="n"/>
      <c r="F64" s="67" t="n"/>
      <c r="G64" s="67" t="n"/>
      <c r="H64" s="67" t="n"/>
      <c r="I64" s="67" t="n"/>
      <c r="J64" s="67" t="n"/>
      <c r="K64" s="66" t="n"/>
    </row>
  </sheetData>
  <mergeCells count="2">
    <mergeCell ref="A2:K2"/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4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0" customWidth="1" min="7" max="7"/>
    <col width="40" customWidth="1" min="8" max="8"/>
  </cols>
  <sheetData>
    <row r="1" ht="28" customHeight="1">
      <c r="A1" s="1" t="inlineStr">
        <is>
          <t>골프 스윙 계측 기록  ─  템플릿 (복사해서 사용)</t>
        </is>
      </c>
    </row>
    <row r="2">
      <c r="A2" s="2" t="inlineStr">
        <is>
          <t>노란 칸에 측정값을 입력하면 평균·판정이 자동 계산됩니다. 파란 글씨 = 입력값, 검은 글씨 = 자동 계산.</t>
        </is>
      </c>
    </row>
    <row r="3">
      <c r="A3" s="4" t="inlineStr">
        <is>
          <t>기록일자</t>
        </is>
      </c>
      <c r="B3" s="36" t="n"/>
      <c r="C3" s="68" t="n"/>
      <c r="D3" s="68" t="n"/>
      <c r="E3" s="69" t="n"/>
    </row>
    <row r="4">
      <c r="A4" s="4" t="inlineStr">
        <is>
          <t>장소</t>
        </is>
      </c>
      <c r="B4" s="36" t="n"/>
      <c r="C4" s="68" t="n"/>
      <c r="D4" s="68" t="n"/>
      <c r="E4" s="69" t="n"/>
    </row>
    <row r="5">
      <c r="A5" s="4" t="inlineStr">
        <is>
          <t>클럽</t>
        </is>
      </c>
      <c r="B5" s="36" t="n"/>
      <c r="C5" s="68" t="n"/>
      <c r="D5" s="68" t="n"/>
      <c r="E5" s="69" t="n"/>
    </row>
    <row r="6">
      <c r="A6" s="4" t="inlineStr">
        <is>
          <t>촬영 규격</t>
        </is>
      </c>
      <c r="B6" s="36" t="n"/>
      <c r="C6" s="68" t="n"/>
      <c r="D6" s="68" t="n"/>
      <c r="E6" s="69" t="n"/>
    </row>
    <row r="7">
      <c r="A7" s="4" t="inlineStr">
        <is>
          <t>분석 방법</t>
        </is>
      </c>
      <c r="B7" s="36" t="n"/>
      <c r="C7" s="68" t="n"/>
      <c r="D7" s="68" t="n"/>
      <c r="E7" s="69" t="n"/>
    </row>
    <row r="9" ht="22" customHeight="1">
      <c r="A9" s="8" t="inlineStr">
        <is>
          <t xml:space="preserve">  1.  스윙별 계측</t>
        </is>
      </c>
    </row>
    <row r="10" ht="30" customHeight="1">
      <c r="A10" s="9" t="inlineStr">
        <is>
          <t>항목</t>
        </is>
      </c>
      <c r="B10" s="9" t="inlineStr">
        <is>
          <t>스윙 1</t>
        </is>
      </c>
      <c r="C10" s="9" t="inlineStr">
        <is>
          <t>스윙 2</t>
        </is>
      </c>
      <c r="D10" s="9" t="inlineStr">
        <is>
          <t>스윙 3</t>
        </is>
      </c>
      <c r="E10" s="9" t="inlineStr">
        <is>
          <t>평균</t>
        </is>
      </c>
      <c r="F10" s="9" t="inlineStr">
        <is>
          <t>목표</t>
        </is>
      </c>
      <c r="G10" s="9" t="inlineStr">
        <is>
          <t>판정</t>
        </is>
      </c>
      <c r="H10" s="9" t="inlineStr">
        <is>
          <t>비고</t>
        </is>
      </c>
    </row>
    <row r="11" ht="24" customHeight="1">
      <c r="A11" s="37" t="inlineStr">
        <is>
          <t>백스윙 시간 (초)</t>
        </is>
      </c>
      <c r="B11" s="38" t="n"/>
      <c r="C11" s="38" t="n"/>
      <c r="D11" s="38" t="n"/>
      <c r="E11" s="39">
        <f>IF(COUNT(B11:D11)=0,"",AVERAGE(B11:D11))</f>
        <v/>
      </c>
      <c r="F11" s="40" t="n">
        <v>0.75</v>
      </c>
      <c r="G11" s="41" t="inlineStr">
        <is>
          <t>—</t>
        </is>
      </c>
      <c r="H11" s="42" t="inlineStr">
        <is>
          <t>투어 평균 0.75초. 참고용.</t>
        </is>
      </c>
    </row>
    <row r="12" ht="24" customHeight="1">
      <c r="A12" s="37" t="inlineStr">
        <is>
          <t>다운스윙 시간 (초)</t>
        </is>
      </c>
      <c r="B12" s="38" t="n"/>
      <c r="C12" s="38" t="n"/>
      <c r="D12" s="38" t="n"/>
      <c r="E12" s="39">
        <f>IF(COUNT(B12:D12)=0,"",AVERAGE(B12:D12))</f>
        <v/>
      </c>
      <c r="F12" s="40" t="n">
        <v>0.25</v>
      </c>
      <c r="G12" s="41" t="inlineStr">
        <is>
          <t>—</t>
        </is>
      </c>
      <c r="H12" s="42" t="inlineStr">
        <is>
          <t>투어 평균 0.25초. 참고용.</t>
        </is>
      </c>
    </row>
    <row r="13" ht="24" customHeight="1">
      <c r="A13" s="37" t="inlineStr">
        <is>
          <t>템포비 (백스윙÷다운스윙)</t>
        </is>
      </c>
      <c r="B13" s="43">
        <f>IF(OR(B12=0,B12=""),"",B11/B12)</f>
        <v/>
      </c>
      <c r="C13" s="43">
        <f>IF(OR(C12=0,C12=""),"",C11/C12)</f>
        <v/>
      </c>
      <c r="D13" s="43">
        <f>IF(OR(D12=0,D12=""),"",D11/D12)</f>
        <v/>
      </c>
      <c r="E13" s="44">
        <f>IF(COUNT(B13:D13)=0,"",AVERAGE(B13:D13))</f>
        <v/>
      </c>
      <c r="F13" s="45" t="n">
        <v>3</v>
      </c>
      <c r="G13" s="41">
        <f>IF(E13="","",IF(E13&lt;=F13,"합격","미달"))</f>
        <v/>
      </c>
      <c r="H13" s="42" t="inlineStr">
        <is>
          <t>투어 평균 3.0:1. 4.0 넘으면 전환이 급한 것.</t>
        </is>
      </c>
    </row>
    <row r="14" ht="24" customHeight="1">
      <c r="A14" s="37" t="inlineStr">
        <is>
          <t>머리 하강 @ 백스윙 탑</t>
        </is>
      </c>
      <c r="B14" s="46" t="n"/>
      <c r="C14" s="46" t="n"/>
      <c r="D14" s="46" t="n"/>
      <c r="E14" s="47">
        <f>IF(COUNT(B14:D14)=0,"",AVERAGE(B14:D14))</f>
        <v/>
      </c>
      <c r="F14" s="48" t="n">
        <v>0.01</v>
      </c>
      <c r="G14" s="41">
        <f>IF(E14="","",IF(E14&lt;=F14,"합격","미달"))</f>
        <v/>
      </c>
      <c r="H14" s="42" t="inlineStr">
        <is>
          <t>+가 내려감. 탑까지는 유지되어야 정상.</t>
        </is>
      </c>
    </row>
    <row r="15" ht="24" customHeight="1">
      <c r="A15" s="49" t="inlineStr">
        <is>
          <t>★ 머리 하강 @ 임팩트</t>
        </is>
      </c>
      <c r="B15" s="46" t="n"/>
      <c r="C15" s="46" t="n"/>
      <c r="D15" s="46" t="n"/>
      <c r="E15" s="47">
        <f>IF(COUNT(B15:D15)=0,"",AVERAGE(B15:D15))</f>
        <v/>
      </c>
      <c r="F15" s="48" t="n">
        <v>0.01</v>
      </c>
      <c r="G15" s="41">
        <f>IF(E15="","",IF(E15&lt;=F15,"합격","미달"))</f>
        <v/>
      </c>
      <c r="H15" s="42" t="inlineStr">
        <is>
          <t>★핵심지표. 이 값을 1.0% 이하로.</t>
        </is>
      </c>
    </row>
    <row r="16" ht="24" customHeight="1">
      <c r="A16" s="49" t="inlineStr">
        <is>
          <t>★ 최저점 시점 (ms)</t>
        </is>
      </c>
      <c r="B16" s="50" t="n"/>
      <c r="C16" s="50" t="n"/>
      <c r="D16" s="50" t="n"/>
      <c r="E16" s="51">
        <f>IF(COUNT(B16:D16)=0,"",AVERAGE(B16:D16))</f>
        <v/>
      </c>
      <c r="F16" s="52" t="n">
        <v>0</v>
      </c>
      <c r="G16" s="41">
        <f>IF(E16="","",IF(E16&lt;=F16,"합격","미달"))</f>
        <v/>
      </c>
      <c r="H16" s="42" t="inlineStr">
        <is>
          <t>★핵심지표. 임팩트 대비. 0 이하 = 임팩트 전에 이미 올라오는 중.</t>
        </is>
      </c>
    </row>
    <row r="17" ht="24" customHeight="1">
      <c r="A17" s="37" t="inlineStr">
        <is>
          <t>왼무릎 @ 어드레스 (°)</t>
        </is>
      </c>
      <c r="B17" s="53" t="n"/>
      <c r="C17" s="53" t="n"/>
      <c r="D17" s="53" t="n"/>
      <c r="E17" s="54">
        <f>IF(COUNT(B17:D17)=0,"",AVERAGE(B17:D17))</f>
        <v/>
      </c>
      <c r="F17" s="55" t="n"/>
      <c r="G17" s="41" t="inlineStr">
        <is>
          <t>—</t>
        </is>
      </c>
      <c r="H17" s="42" t="inlineStr">
        <is>
          <t>기준값.</t>
        </is>
      </c>
    </row>
    <row r="18" ht="24" customHeight="1">
      <c r="A18" s="49" t="inlineStr">
        <is>
          <t>★ 왼무릎 @ 임팩트 (°)</t>
        </is>
      </c>
      <c r="B18" s="53" t="n"/>
      <c r="C18" s="53" t="n"/>
      <c r="D18" s="53" t="n"/>
      <c r="E18" s="54">
        <f>IF(COUNT(B18:D18)=0,"",AVERAGE(B18:D18))</f>
        <v/>
      </c>
      <c r="F18" s="55" t="n"/>
      <c r="G18" s="41" t="inlineStr">
        <is>
          <t>—</t>
        </is>
      </c>
      <c r="H18" s="42" t="inlineStr">
        <is>
          <t>어드레스보다 커야(펴져야) 정상.</t>
        </is>
      </c>
    </row>
    <row r="19" ht="24" customHeight="1">
      <c r="A19" s="49" t="inlineStr">
        <is>
          <t>★ 왼무릎 변화 (°)</t>
        </is>
      </c>
      <c r="B19" s="56">
        <f>IF(OR(B17="",B18=""),"",B18-B17)</f>
        <v/>
      </c>
      <c r="C19" s="56">
        <f>IF(OR(C17="",C18=""),"",C18-C17)</f>
        <v/>
      </c>
      <c r="D19" s="56">
        <f>IF(OR(D17="",D18=""),"",D18-D17)</f>
        <v/>
      </c>
      <c r="E19" s="51">
        <f>IF(COUNT(B19:D19)=0,"",AVERAGE(B19:D19))</f>
        <v/>
      </c>
      <c r="F19" s="52" t="n">
        <v>0</v>
      </c>
      <c r="G19" s="41">
        <f>IF(E19="","",IF(E19&gt;=F19,"합격","미달"))</f>
        <v/>
      </c>
      <c r="H19" s="42" t="inlineStr">
        <is>
          <t>★핵심지표. 임팩트−어드레스. +면 폄, −면 주저앉음.</t>
        </is>
      </c>
    </row>
    <row r="20" ht="24" customHeight="1">
      <c r="A20" s="37" t="inlineStr">
        <is>
          <t>머리 좌우 이동 (px)</t>
        </is>
      </c>
      <c r="B20" s="57" t="n"/>
      <c r="C20" s="57" t="n"/>
      <c r="D20" s="57" t="n"/>
      <c r="E20" s="58">
        <f>IF(COUNT(B20:D20)=0,"",AVERAGE(B20:D20))</f>
        <v/>
      </c>
      <c r="F20" s="59" t="n">
        <v>40</v>
      </c>
      <c r="G20" s="41">
        <f>IF(E20="","",IF(E20&lt;=F20,"합격","미달"))</f>
        <v/>
      </c>
      <c r="H20" s="42" t="inlineStr">
        <is>
          <t>어드레스→임팩트. 몸 높이의 4% 이내면 정상.</t>
        </is>
      </c>
    </row>
    <row r="21">
      <c r="A21" s="2" t="inlineStr">
        <is>
          <t>측정 규칙 — 머리 높이는 양쪽 귀 중점을, 몸 높이는 머리~발목 길이를 기준으로 %로 환산합니다. 무릎 각도는 고관절-무릎-발목 사잇각이며 180°가 완전히 편 상태입니다.</t>
        </is>
      </c>
    </row>
    <row r="23" ht="22" customHeight="1">
      <c r="A23" s="8" t="inlineStr">
        <is>
          <t xml:space="preserve">  2.  종합 판정</t>
        </is>
      </c>
    </row>
    <row r="24" ht="30" customHeight="1">
      <c r="A24" s="9" t="inlineStr">
        <is>
          <t>구분</t>
        </is>
      </c>
      <c r="B24" s="9" t="inlineStr">
        <is>
          <t>내용</t>
        </is>
      </c>
      <c r="C24" s="9" t="inlineStr"/>
      <c r="D24" s="9" t="inlineStr"/>
      <c r="E24" s="9" t="inlineStr"/>
      <c r="F24" s="9" t="inlineStr"/>
      <c r="G24" s="9" t="inlineStr"/>
      <c r="H24" s="9" t="inlineStr"/>
    </row>
    <row r="25" ht="34" customHeight="1">
      <c r="A25" s="60" t="inlineStr">
        <is>
          <t>확인된 결함</t>
        </is>
      </c>
      <c r="B25" s="61" t="n"/>
      <c r="C25" s="68" t="n"/>
      <c r="D25" s="68" t="n"/>
      <c r="E25" s="68" t="n"/>
      <c r="F25" s="68" t="n"/>
      <c r="G25" s="68" t="n"/>
      <c r="H25" s="69" t="n"/>
    </row>
    <row r="26" ht="34" customHeight="1">
      <c r="A26" s="60" t="inlineStr">
        <is>
          <t>원인</t>
        </is>
      </c>
      <c r="B26" s="61" t="n"/>
      <c r="C26" s="68" t="n"/>
      <c r="D26" s="68" t="n"/>
      <c r="E26" s="68" t="n"/>
      <c r="F26" s="68" t="n"/>
      <c r="G26" s="68" t="n"/>
      <c r="H26" s="69" t="n"/>
    </row>
    <row r="27" ht="34" customHeight="1">
      <c r="A27" s="60" t="inlineStr">
        <is>
          <t>증상 연결</t>
        </is>
      </c>
      <c r="B27" s="61" t="n"/>
      <c r="C27" s="68" t="n"/>
      <c r="D27" s="68" t="n"/>
      <c r="E27" s="68" t="n"/>
      <c r="F27" s="68" t="n"/>
      <c r="G27" s="68" t="n"/>
      <c r="H27" s="69" t="n"/>
    </row>
    <row r="28" ht="34" customHeight="1">
      <c r="A28" s="60" t="inlineStr">
        <is>
          <t>이 계측의 한계</t>
        </is>
      </c>
      <c r="B28" s="61" t="n"/>
      <c r="C28" s="68" t="n"/>
      <c r="D28" s="68" t="n"/>
      <c r="E28" s="68" t="n"/>
      <c r="F28" s="68" t="n"/>
      <c r="G28" s="68" t="n"/>
      <c r="H28" s="69" t="n"/>
    </row>
    <row r="30" ht="22" customHeight="1">
      <c r="A30" s="8" t="inlineStr">
        <is>
          <t xml:space="preserve">  3.  다음 기록까지 할 것</t>
        </is>
      </c>
    </row>
    <row r="31" ht="26" customHeight="1">
      <c r="A31" s="25" t="inlineStr">
        <is>
          <t>1.</t>
        </is>
      </c>
      <c r="B31" s="61" t="n"/>
      <c r="C31" s="68" t="n"/>
      <c r="D31" s="68" t="n"/>
      <c r="E31" s="68" t="n"/>
      <c r="F31" s="68" t="n"/>
      <c r="G31" s="68" t="n"/>
      <c r="H31" s="69" t="n"/>
    </row>
    <row r="32" ht="26" customHeight="1">
      <c r="A32" s="25" t="inlineStr">
        <is>
          <t>2.</t>
        </is>
      </c>
      <c r="B32" s="61" t="n"/>
      <c r="C32" s="68" t="n"/>
      <c r="D32" s="68" t="n"/>
      <c r="E32" s="68" t="n"/>
      <c r="F32" s="68" t="n"/>
      <c r="G32" s="68" t="n"/>
      <c r="H32" s="69" t="n"/>
    </row>
    <row r="33" ht="26" customHeight="1">
      <c r="A33" s="25" t="inlineStr">
        <is>
          <t>3.</t>
        </is>
      </c>
      <c r="B33" s="61" t="n"/>
      <c r="C33" s="68" t="n"/>
      <c r="D33" s="68" t="n"/>
      <c r="E33" s="68" t="n"/>
      <c r="F33" s="68" t="n"/>
      <c r="G33" s="68" t="n"/>
      <c r="H33" s="69" t="n"/>
    </row>
    <row r="34" ht="26" customHeight="1">
      <c r="A34" s="25" t="inlineStr">
        <is>
          <t>4.</t>
        </is>
      </c>
      <c r="B34" s="61" t="n"/>
      <c r="C34" s="68" t="n"/>
      <c r="D34" s="68" t="n"/>
      <c r="E34" s="68" t="n"/>
      <c r="F34" s="68" t="n"/>
      <c r="G34" s="68" t="n"/>
      <c r="H34" s="69" t="n"/>
    </row>
  </sheetData>
  <mergeCells count="19">
    <mergeCell ref="A9:H9"/>
    <mergeCell ref="A30:H30"/>
    <mergeCell ref="B6:E6"/>
    <mergeCell ref="B5:E5"/>
    <mergeCell ref="A1:H1"/>
    <mergeCell ref="B33:H33"/>
    <mergeCell ref="B32:H32"/>
    <mergeCell ref="B26:H26"/>
    <mergeCell ref="B4:E4"/>
    <mergeCell ref="B7:E7"/>
    <mergeCell ref="B3:E3"/>
    <mergeCell ref="B25:H25"/>
    <mergeCell ref="B31:H31"/>
    <mergeCell ref="A21:H21"/>
    <mergeCell ref="B27:H27"/>
    <mergeCell ref="A2:H2"/>
    <mergeCell ref="A23:H23"/>
    <mergeCell ref="B34:H34"/>
    <mergeCell ref="B28:H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2026-09-06T14:38:15Z</dcterms:created>
  <dcterms:modified xsi:type="dcterms:W3CDTF">2026-09-06T14:38:24Z</dcterms:modified>
</cp:coreProperties>
</file>